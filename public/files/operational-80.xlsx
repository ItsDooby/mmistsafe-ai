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bdc64800c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tSafe_One_Sheet" sheetId="1" r:id="R7f5d4c18718e47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56"/>
      </x:patternFill>
    </x:fill>
    <x:fill>
      <x:patternFill patternType="solid">
        <x:fgColor rgb="FFFFF1CE"/>
      </x:patternFill>
    </x:fill>
    <x:fill>
      <x:patternFill patternType="solid">
        <x:fgColor rgb="FFFCE5E5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684843ef54755" /><Relationship Type="http://schemas.openxmlformats.org/officeDocument/2006/relationships/theme" Target="/xl/theme/theme1.xml" Id="R48850a788c0e4bed" /><Relationship Type="http://schemas.openxmlformats.org/officeDocument/2006/relationships/sharedStrings" Target="/xl/sharedStrings.xml" Id="R8ce7791404cb45c1" /><Relationship Type="http://schemas.openxmlformats.org/officeDocument/2006/relationships/worksheet" Target="/xl/worksheets/sheet1.xml" Id="R7f5d4c18718e47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2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82" hidden="0" customWidth="1"/>
    <x:col min="26" max="26" width="29" hidden="0" customWidth="1"/>
  </x:cols>
  <x:sheetData>
    <x:row r="1" ht="34" customHeight="1">
      <x:c r="A1" s="3" t="str">
        <x:v>Sample ID</x:v>
      </x:c>
      <x:c r="B1" s="3" t="str">
        <x:v>Time (demo)</x:v>
      </x:c>
      <x:c r="C1" s="3" t="str">
        <x:v>Device</x:v>
      </x:c>
      <x:c r="D1" s="3" t="str">
        <x:v>Target (simulated)</x:v>
      </x:c>
      <x:c r="E1" s="3" t="str">
        <x:v>Temp °C</x:v>
      </x:c>
      <x:c r="F1" s="3" t="str">
        <x:v>pH</x:v>
      </x:c>
      <x:c r="G1" s="3" t="str">
        <x:v>EC µS/cm</x:v>
      </x:c>
      <x:c r="H1" s="3" t="str">
        <x:v>Turbidity NTU</x:v>
      </x:c>
      <x:c r="I1" s="3" t="str">
        <x:v>Flow L/min</x:v>
      </x:c>
      <x:c r="J1" s="3" t="str">
        <x:v>Stagnation h</x:v>
      </x:c>
      <x:c r="K1" s="3" t="str">
        <x:v>Chlorine mg/L</x:v>
      </x:c>
      <x:c r="L1" s="3" t="str">
        <x:v>UV ready</x:v>
      </x:c>
      <x:c r="M1" s="3" t="str">
        <x:v>Sensor OK</x:v>
      </x:c>
      <x:c r="N1" s="3" t="str">
        <x:v>Image ID</x:v>
      </x:c>
      <x:c r="O1" s="3" t="str">
        <x:v>Image type</x:v>
      </x:c>
      <x:c r="P1" s="3" t="str">
        <x:v>Image verified</x:v>
      </x:c>
      <x:c r="Q1" s="3" t="str">
        <x:v>Lab assay</x:v>
      </x:c>
      <x:c r="R1" s="3" t="str">
        <x:v>Lab method</x:v>
      </x:c>
      <x:c r="S1" s="3" t="str">
        <x:v>Lab result</x:v>
      </x:c>
      <x:c r="T1" s="3" t="str">
        <x:v>Lab verified</x:v>
      </x:c>
      <x:c r="U1" s="3" t="str">
        <x:v>Demo risk 0-100</x:v>
      </x:c>
      <x:c r="V1" s="3" t="str">
        <x:v>Risk band (demo)</x:v>
      </x:c>
      <x:c r="W1" s="3" t="str">
        <x:v>Local safety action</x:v>
      </x:c>
      <x:c r="X1" s="3" t="str">
        <x:v>AI training eligibility</x:v>
      </x:c>
      <x:c r="Y1" s="3" t="str">
        <x:v>Workflow (1→9)</x:v>
      </x:c>
      <x:c r="Z1" s="3" t="str">
        <x:v>Data provenance</x:v>
      </x:c>
    </x:row>
    <x:row r="2">
      <x:c r="A2" t="str">
        <x:v>MS-SIM-0001</x:v>
      </x:c>
      <x:c r="B2" t="str">
        <x:v>2026-10-19 18:00:00</x:v>
      </x:c>
      <x:c r="C2" t="str">
        <x:v>ESP32-DEMO-01</x:v>
      </x:c>
      <x:c r="D2" t="str">
        <x:v>Legionella</x:v>
      </x:c>
      <x:c r="E2" t="n">
        <x:v>29.4</x:v>
      </x:c>
      <x:c r="F2" t="n">
        <x:v>7.53</x:v>
      </x:c>
      <x:c r="G2" t="n">
        <x:v>835</x:v>
      </x:c>
      <x:c r="H2" t="n">
        <x:v>4.94</x:v>
      </x:c>
      <x:c r="I2" t="n">
        <x:v>1.74</x:v>
      </x:c>
      <x:c r="J2" t="n">
        <x:v>35.3</x:v>
      </x:c>
      <x:c r="K2" t="n">
        <x:v>0.05</x:v>
      </x:c>
      <x:c r="L2" t="n">
        <x:v>1</x:v>
      </x:c>
      <x:c r="M2" t="n">
        <x:v>1</x:v>
      </x:c>
      <x:c r="N2" t="str">
        <x:v>IMG-0001</x:v>
      </x:c>
      <x:c r="O2" t="str">
        <x:v>SYNTHETIC ILLUSTRATION</x:v>
      </x:c>
      <x:c r="P2" t="str">
        <x:v>NOT_VERIFIED</x:v>
      </x:c>
      <x:c r="Q2" t="str">
        <x:v>LAB-0001</x:v>
      </x:c>
      <x:c r="R2" t="str">
        <x:v>Culture / qPCR</x:v>
      </x:c>
      <x:c r="S2" t="str">
        <x:v>SIM_POS</x:v>
      </x:c>
      <x:c r="T2" t="str">
        <x:v>NOT_VERIFIED</x:v>
      </x:c>
      <x:c r="U2" t="n">
        <x:f>MIN(100,MAX(0,(E2-25)*1.5+H2*2+J2*0.25+IF(K2&lt;0.2,15,0)))</x:f>
        <x:v>40.30499999999999</x:v>
      </x:c>
      <x:c r="V2" t="str">
        <x:f>IF(U2&gt;=60,"DEMO HIGH",IF(U2&gt;=30,"DEMO MEDIUM","DEMO LOW"))</x:f>
        <x:v>DEMO MEDIUM</x:v>
      </x:c>
      <x:c r="W2" t="str">
        <x:f>IF(OR(L2&lt;&gt;1,M2&lt;&gt;1,I2&lt;=0),"STOP - FAIL CLOSED","DEMO: VALVE INHIBITED")</x:f>
        <x:v>DEMO: VALVE INHIBITED</x:v>
      </x:c>
      <x:c r="X2" s="8" t="str">
        <x:f>IF(AND(P2="VERIFIED",T2="VERIFIED",Z2="REAL PAIRED"),"REVIEW FOR TRAINING","DEMO ONLY")</x:f>
        <x:v>DEMO ONLY</x:v>
      </x:c>
      <x:c r="Y2" t="str">
        <x:v>1 Sample → 2 MQTT → 3 Risk → 4 Image → 5 Lab → 6 Interlock → 7 Dashboard → 8 Store → 9 Review</x:v>
      </x:c>
      <x:c r="Z2" s="6" t="str">
        <x:v>SYNTHETIC / NOT VERIFIED</x:v>
      </x:c>
    </x:row>
    <x:row r="3">
      <x:c r="A3" t="str">
        <x:v>MS-SIM-0002</x:v>
      </x:c>
      <x:c r="B3" t="str">
        <x:v>2026-10-19 18:00:01</x:v>
      </x:c>
      <x:c r="C3" t="str">
        <x:v>ESP32-DEMO-01</x:v>
      </x:c>
      <x:c r="D3" t="str">
        <x:v>Viruses</x:v>
      </x:c>
      <x:c r="E3" t="n">
        <x:v>30.8</x:v>
      </x:c>
      <x:c r="F3" t="n">
        <x:v>6.56</x:v>
      </x:c>
      <x:c r="G3" t="n">
        <x:v>343</x:v>
      </x:c>
      <x:c r="H3" t="n">
        <x:v>3.84</x:v>
      </x:c>
      <x:c r="I3" t="n">
        <x:v>3.1</x:v>
      </x:c>
      <x:c r="J3" t="n">
        <x:v>43.3</x:v>
      </x:c>
      <x:c r="K3" t="n">
        <x:v>0.45</x:v>
      </x:c>
      <x:c r="L3" t="n">
        <x:v>1</x:v>
      </x:c>
      <x:c r="M3" t="n">
        <x:v>1</x:v>
      </x:c>
      <x:c r="N3" t="str">
        <x:v>IMG-0002</x:v>
      </x:c>
      <x:c r="O3" t="str">
        <x:v>SYNTHETIC ILLUSTRATION</x:v>
      </x:c>
      <x:c r="P3" t="str">
        <x:v>NOT_VERIFIED</x:v>
      </x:c>
      <x:c r="Q3" t="str">
        <x:v>LAB-0002</x:v>
      </x:c>
      <x:c r="R3" t="str">
        <x:v>RT-qPCR</x:v>
      </x:c>
      <x:c r="S3" t="str">
        <x:v>SIM_NEG</x:v>
      </x:c>
      <x:c r="T3" t="str">
        <x:v>NOT_VERIFIED</x:v>
      </x:c>
      <x:c r="U3" t="n">
        <x:f>MIN(100,MAX(0,(E3-25)*1.5+H3*2+J3*0.25+IF(K3&lt;0.2,15,0)))</x:f>
        <x:v>27.205000000000002</x:v>
      </x:c>
      <x:c r="V3" t="str">
        <x:f>IF(U3&gt;=60,"DEMO HIGH",IF(U3&gt;=30,"DEMO MEDIUM","DEMO LOW"))</x:f>
        <x:v>DEMO LOW</x:v>
      </x:c>
      <x:c r="W3" t="str">
        <x:f>IF(OR(L3&lt;&gt;1,M3&lt;&gt;1,I3&lt;=0),"STOP - FAIL CLOSED","DEMO: VALVE INHIBITED")</x:f>
        <x:v>DEMO: VALVE INHIBITED</x:v>
      </x:c>
      <x:c r="X3" s="8" t="str">
        <x:f>IF(AND(P3="VERIFIED",T3="VERIFIED",Z3="REAL PAIRED"),"REVIEW FOR TRAINING","DEMO ONLY")</x:f>
        <x:v>DEMO ONLY</x:v>
      </x:c>
      <x:c r="Y3" t="str">
        <x:v>1 Sample → 2 MQTT → 3 Risk → 4 Image → 5 Lab → 6 Interlock → 7 Dashboard → 8 Store → 9 Review</x:v>
      </x:c>
      <x:c r="Z3" s="6" t="str">
        <x:v>SYNTHETIC / NOT VERIFIED</x:v>
      </x:c>
    </x:row>
    <x:row r="4">
      <x:c r="A4" t="str">
        <x:v>MS-SIM-0003</x:v>
      </x:c>
      <x:c r="B4" t="str">
        <x:v>2026-10-19 18:00:02</x:v>
      </x:c>
      <x:c r="C4" t="str">
        <x:v>ESP32-DEMO-01</x:v>
      </x:c>
      <x:c r="D4" t="str">
        <x:v>Microplastics</x:v>
      </x:c>
      <x:c r="E4" t="n">
        <x:v>41.3</x:v>
      </x:c>
      <x:c r="F4" t="n">
        <x:v>8.66</x:v>
      </x:c>
      <x:c r="G4" t="n">
        <x:v>995</x:v>
      </x:c>
      <x:c r="H4" t="n">
        <x:v>3.37</x:v>
      </x:c>
      <x:c r="I4" t="n">
        <x:v>1.77</x:v>
      </x:c>
      <x:c r="J4" t="n">
        <x:v>32.3</x:v>
      </x:c>
      <x:c r="K4" t="n">
        <x:v>0.77</x:v>
      </x:c>
      <x:c r="L4" t="n">
        <x:v>1</x:v>
      </x:c>
      <x:c r="M4" t="n">
        <x:v>1</x:v>
      </x:c>
      <x:c r="N4" t="str">
        <x:v>IMG-0003</x:v>
      </x:c>
      <x:c r="O4" t="str">
        <x:v>SYNTHETIC ILLUSTRATION</x:v>
      </x:c>
      <x:c r="P4" t="str">
        <x:v>NOT_VERIFIED</x:v>
      </x:c>
      <x:c r="Q4" t="str">
        <x:v>LAB-0003</x:v>
      </x:c>
      <x:c r="R4" t="str">
        <x:v>FTIR / Raman</x:v>
      </x:c>
      <x:c r="S4" t="str">
        <x:v>SIM_NEG</x:v>
      </x:c>
      <x:c r="T4" t="str">
        <x:v>NOT_VERIFIED</x:v>
      </x:c>
      <x:c r="U4" t="n">
        <x:f>MIN(100,MAX(0,(E4-25)*1.5+H4*2+J4*0.25+IF(K4&lt;0.2,15,0)))</x:f>
        <x:v>39.265</x:v>
      </x:c>
      <x:c r="V4" t="str">
        <x:f>IF(U4&gt;=60,"DEMO HIGH",IF(U4&gt;=30,"DEMO MEDIUM","DEMO LOW"))</x:f>
        <x:v>DEMO MEDIUM</x:v>
      </x:c>
      <x:c r="W4" t="str">
        <x:f>IF(OR(L4&lt;&gt;1,M4&lt;&gt;1,I4&lt;=0),"STOP - FAIL CLOSED","DEMO: VALVE INHIBITED")</x:f>
        <x:v>DEMO: VALVE INHIBITED</x:v>
      </x:c>
      <x:c r="X4" s="8" t="str">
        <x:f>IF(AND(P4="VERIFIED",T4="VERIFIED",Z4="REAL PAIRED"),"REVIEW FOR TRAINING","DEMO ONLY")</x:f>
        <x:v>DEMO ONLY</x:v>
      </x:c>
      <x:c r="Y4" t="str">
        <x:v>1 Sample → 2 MQTT → 3 Risk → 4 Image → 5 Lab → 6 Interlock → 7 Dashboard → 8 Store → 9 Review</x:v>
      </x:c>
      <x:c r="Z4" s="6" t="str">
        <x:v>SYNTHETIC / NOT VERIFIED</x:v>
      </x:c>
    </x:row>
    <x:row r="5">
      <x:c r="A5" t="str">
        <x:v>MS-SIM-0004</x:v>
      </x:c>
      <x:c r="B5" t="str">
        <x:v>2026-10-19 18:00:03</x:v>
      </x:c>
      <x:c r="C5" t="str">
        <x:v>ESP32-DEMO-01</x:v>
      </x:c>
      <x:c r="D5" t="str">
        <x:v>Algae</x:v>
      </x:c>
      <x:c r="E5" t="n">
        <x:v>22.7</x:v>
      </x:c>
      <x:c r="F5" t="n">
        <x:v>7.4</x:v>
      </x:c>
      <x:c r="G5" t="n">
        <x:v>1163</x:v>
      </x:c>
      <x:c r="H5" t="n">
        <x:v>8.49</x:v>
      </x:c>
      <x:c r="I5" t="n">
        <x:v>1.87</x:v>
      </x:c>
      <x:c r="J5" t="n">
        <x:v>68.6</x:v>
      </x:c>
      <x:c r="K5" t="n">
        <x:v>0.21</x:v>
      </x:c>
      <x:c r="L5" t="n">
        <x:v>1</x:v>
      </x:c>
      <x:c r="M5" t="n">
        <x:v>1</x:v>
      </x:c>
      <x:c r="N5" t="str">
        <x:v>IMG-0004</x:v>
      </x:c>
      <x:c r="O5" t="str">
        <x:v>SYNTHETIC ILLUSTRATION</x:v>
      </x:c>
      <x:c r="P5" t="str">
        <x:v>NOT_VERIFIED</x:v>
      </x:c>
      <x:c r="Q5" t="str">
        <x:v>LAB-0004</x:v>
      </x:c>
      <x:c r="R5" t="str">
        <x:v>Microscopy / pigment</x:v>
      </x:c>
      <x:c r="S5" t="str">
        <x:v>SIM_POS</x:v>
      </x:c>
      <x:c r="T5" t="str">
        <x:v>NOT_VERIFIED</x:v>
      </x:c>
      <x:c r="U5" t="n">
        <x:f>MIN(100,MAX(0,(E5-25)*1.5+H5*2+J5*0.25+IF(K5&lt;0.2,15,0)))</x:f>
        <x:v>30.68</x:v>
      </x:c>
      <x:c r="V5" t="str">
        <x:f>IF(U5&gt;=60,"DEMO HIGH",IF(U5&gt;=30,"DEMO MEDIUM","DEMO LOW"))</x:f>
        <x:v>DEMO MEDIUM</x:v>
      </x:c>
      <x:c r="W5" t="str">
        <x:f>IF(OR(L5&lt;&gt;1,M5&lt;&gt;1,I5&lt;=0),"STOP - FAIL CLOSED","DEMO: VALVE INHIBITED")</x:f>
        <x:v>DEMO: VALVE INHIBITED</x:v>
      </x:c>
      <x:c r="X5" s="8" t="str">
        <x:f>IF(AND(P5="VERIFIED",T5="VERIFIED",Z5="REAL PAIRED"),"REVIEW FOR TRAINING","DEMO ONLY")</x:f>
        <x:v>DEMO ONLY</x:v>
      </x:c>
      <x:c r="Y5" t="str">
        <x:v>1 Sample → 2 MQTT → 3 Risk → 4 Image → 5 Lab → 6 Interlock → 7 Dashboard → 8 Store → 9 Review</x:v>
      </x:c>
      <x:c r="Z5" s="6" t="str">
        <x:v>SYNTHETIC / NOT VERIFIED</x:v>
      </x:c>
    </x:row>
    <x:row r="6">
      <x:c r="A6" t="str">
        <x:v>MS-SIM-0005</x:v>
      </x:c>
      <x:c r="B6" t="str">
        <x:v>2026-10-19 18:00:04</x:v>
      </x:c>
      <x:c r="C6" t="str">
        <x:v>ESP32-DEMO-01</x:v>
      </x:c>
      <x:c r="D6" t="str">
        <x:v>Legionella</x:v>
      </x:c>
      <x:c r="E6" t="n">
        <x:v>39.7</x:v>
      </x:c>
      <x:c r="F6" t="n">
        <x:v>8.7</x:v>
      </x:c>
      <x:c r="G6" t="n">
        <x:v>249</x:v>
      </x:c>
      <x:c r="H6" t="n">
        <x:v>4.81</x:v>
      </x:c>
      <x:c r="I6" t="n">
        <x:v>1.29</x:v>
      </x:c>
      <x:c r="J6" t="n">
        <x:v>34.5</x:v>
      </x:c>
      <x:c r="K6" t="n">
        <x:v>0.44</x:v>
      </x:c>
      <x:c r="L6" t="n">
        <x:v>1</x:v>
      </x:c>
      <x:c r="M6" t="n">
        <x:v>1</x:v>
      </x:c>
      <x:c r="N6" t="str">
        <x:v>IMG-0005</x:v>
      </x:c>
      <x:c r="O6" t="str">
        <x:v>SYNTHETIC ILLUSTRATION</x:v>
      </x:c>
      <x:c r="P6" t="str">
        <x:v>NOT_VERIFIED</x:v>
      </x:c>
      <x:c r="Q6" t="str">
        <x:v>LAB-0005</x:v>
      </x:c>
      <x:c r="R6" t="str">
        <x:v>Culture / qPCR</x:v>
      </x:c>
      <x:c r="S6" t="str">
        <x:v>SIM_NEG</x:v>
      </x:c>
      <x:c r="T6" t="str">
        <x:v>NOT_VERIFIED</x:v>
      </x:c>
      <x:c r="U6" t="n">
        <x:f>MIN(100,MAX(0,(E6-25)*1.5+H6*2+J6*0.25+IF(K6&lt;0.2,15,0)))</x:f>
        <x:v>40.295</x:v>
      </x:c>
      <x:c r="V6" t="str">
        <x:f>IF(U6&gt;=60,"DEMO HIGH",IF(U6&gt;=30,"DEMO MEDIUM","DEMO LOW"))</x:f>
        <x:v>DEMO MEDIUM</x:v>
      </x:c>
      <x:c r="W6" t="str">
        <x:f>IF(OR(L6&lt;&gt;1,M6&lt;&gt;1,I6&lt;=0),"STOP - FAIL CLOSED","DEMO: VALVE INHIBITED")</x:f>
        <x:v>DEMO: VALVE INHIBITED</x:v>
      </x:c>
      <x:c r="X6" s="8" t="str">
        <x:f>IF(AND(P6="VERIFIED",T6="VERIFIED",Z6="REAL PAIRED"),"REVIEW FOR TRAINING","DEMO ONLY")</x:f>
        <x:v>DEMO ONLY</x:v>
      </x:c>
      <x:c r="Y6" t="str">
        <x:v>1 Sample → 2 MQTT → 3 Risk → 4 Image → 5 Lab → 6 Interlock → 7 Dashboard → 8 Store → 9 Review</x:v>
      </x:c>
      <x:c r="Z6" s="6" t="str">
        <x:v>SYNTHETIC / NOT VERIFIED</x:v>
      </x:c>
    </x:row>
    <x:row r="7">
      <x:c r="A7" t="str">
        <x:v>MS-SIM-0006</x:v>
      </x:c>
      <x:c r="B7" t="str">
        <x:v>2026-10-19 18:00:05</x:v>
      </x:c>
      <x:c r="C7" t="str">
        <x:v>ESP32-DEMO-01</x:v>
      </x:c>
      <x:c r="D7" t="str">
        <x:v>Viruses</x:v>
      </x:c>
      <x:c r="E7" t="n">
        <x:v>27.3</x:v>
      </x:c>
      <x:c r="F7" t="n">
        <x:v>8.06</x:v>
      </x:c>
      <x:c r="G7" t="n">
        <x:v>1434</x:v>
      </x:c>
      <x:c r="H7" t="n">
        <x:v>12.99</x:v>
      </x:c>
      <x:c r="I7" t="n">
        <x:v>2.74</x:v>
      </x:c>
      <x:c r="J7" t="n">
        <x:v>19.7</x:v>
      </x:c>
      <x:c r="K7" t="n">
        <x:v>0.6</x:v>
      </x:c>
      <x:c r="L7" t="n">
        <x:v>1</x:v>
      </x:c>
      <x:c r="M7" t="n">
        <x:v>1</x:v>
      </x:c>
      <x:c r="N7" t="str">
        <x:v>IMG-0006</x:v>
      </x:c>
      <x:c r="O7" t="str">
        <x:v>SYNTHETIC ILLUSTRATION</x:v>
      </x:c>
      <x:c r="P7" t="str">
        <x:v>NOT_VERIFIED</x:v>
      </x:c>
      <x:c r="Q7" t="str">
        <x:v>LAB-0006</x:v>
      </x:c>
      <x:c r="R7" t="str">
        <x:v>RT-qPCR</x:v>
      </x:c>
      <x:c r="S7" t="str">
        <x:v>SIM_NEG</x:v>
      </x:c>
      <x:c r="T7" t="str">
        <x:v>NOT_VERIFIED</x:v>
      </x:c>
      <x:c r="U7" t="n">
        <x:f>MIN(100,MAX(0,(E7-25)*1.5+H7*2+J7*0.25+IF(K7&lt;0.2,15,0)))</x:f>
        <x:v>34.355</x:v>
      </x:c>
      <x:c r="V7" t="str">
        <x:f>IF(U7&gt;=60,"DEMO HIGH",IF(U7&gt;=30,"DEMO MEDIUM","DEMO LOW"))</x:f>
        <x:v>DEMO MEDIUM</x:v>
      </x:c>
      <x:c r="W7" t="str">
        <x:f>IF(OR(L7&lt;&gt;1,M7&lt;&gt;1,I7&lt;=0),"STOP - FAIL CLOSED","DEMO: VALVE INHIBITED")</x:f>
        <x:v>DEMO: VALVE INHIBITED</x:v>
      </x:c>
      <x:c r="X7" s="8" t="str">
        <x:f>IF(AND(P7="VERIFIED",T7="VERIFIED",Z7="REAL PAIRED"),"REVIEW FOR TRAINING","DEMO ONLY")</x:f>
        <x:v>DEMO ONLY</x:v>
      </x:c>
      <x:c r="Y7" t="str">
        <x:v>1 Sample → 2 MQTT → 3 Risk → 4 Image → 5 Lab → 6 Interlock → 7 Dashboard → 8 Store → 9 Review</x:v>
      </x:c>
      <x:c r="Z7" s="6" t="str">
        <x:v>SYNTHETIC / NOT VERIFIED</x:v>
      </x:c>
    </x:row>
    <x:row r="8">
      <x:c r="A8" t="str">
        <x:v>MS-SIM-0007</x:v>
      </x:c>
      <x:c r="B8" t="str">
        <x:v>2026-10-19 18:00:06</x:v>
      </x:c>
      <x:c r="C8" t="str">
        <x:v>ESP32-DEMO-01</x:v>
      </x:c>
      <x:c r="D8" t="str">
        <x:v>Microplastics</x:v>
      </x:c>
      <x:c r="E8" t="n">
        <x:v>38.2</x:v>
      </x:c>
      <x:c r="F8" t="n">
        <x:v>7.95</x:v>
      </x:c>
      <x:c r="G8" t="n">
        <x:v>1145</x:v>
      </x:c>
      <x:c r="H8" t="n">
        <x:v>4.15</x:v>
      </x:c>
      <x:c r="I8" t="n">
        <x:v>2.52</x:v>
      </x:c>
      <x:c r="J8" t="n">
        <x:v>21.5</x:v>
      </x:c>
      <x:c r="K8" t="n">
        <x:v>0.45</x:v>
      </x:c>
      <x:c r="L8" t="n">
        <x:v>1</x:v>
      </x:c>
      <x:c r="M8" t="n">
        <x:v>1</x:v>
      </x:c>
      <x:c r="N8" t="str">
        <x:v>IMG-0007</x:v>
      </x:c>
      <x:c r="O8" t="str">
        <x:v>SYNTHETIC ILLUSTRATION</x:v>
      </x:c>
      <x:c r="P8" t="str">
        <x:v>NOT_VERIFIED</x:v>
      </x:c>
      <x:c r="Q8" t="str">
        <x:v>LAB-0007</x:v>
      </x:c>
      <x:c r="R8" t="str">
        <x:v>FTIR / Raman</x:v>
      </x:c>
      <x:c r="S8" t="str">
        <x:v>SIM_POS</x:v>
      </x:c>
      <x:c r="T8" t="str">
        <x:v>NOT_VERIFIED</x:v>
      </x:c>
      <x:c r="U8" t="n">
        <x:f>MIN(100,MAX(0,(E8-25)*1.5+H8*2+J8*0.25+IF(K8&lt;0.2,15,0)))</x:f>
        <x:v>33.47500000000001</x:v>
      </x:c>
      <x:c r="V8" t="str">
        <x:f>IF(U8&gt;=60,"DEMO HIGH",IF(U8&gt;=30,"DEMO MEDIUM","DEMO LOW"))</x:f>
        <x:v>DEMO MEDIUM</x:v>
      </x:c>
      <x:c r="W8" t="str">
        <x:f>IF(OR(L8&lt;&gt;1,M8&lt;&gt;1,I8&lt;=0),"STOP - FAIL CLOSED","DEMO: VALVE INHIBITED")</x:f>
        <x:v>DEMO: VALVE INHIBITED</x:v>
      </x:c>
      <x:c r="X8" s="8" t="str">
        <x:f>IF(AND(P8="VERIFIED",T8="VERIFIED",Z8="REAL PAIRED"),"REVIEW FOR TRAINING","DEMO ONLY")</x:f>
        <x:v>DEMO ONLY</x:v>
      </x:c>
      <x:c r="Y8" t="str">
        <x:v>1 Sample → 2 MQTT → 3 Risk → 4 Image → 5 Lab → 6 Interlock → 7 Dashboard → 8 Store → 9 Review</x:v>
      </x:c>
      <x:c r="Z8" s="6" t="str">
        <x:v>SYNTHETIC / NOT VERIFIED</x:v>
      </x:c>
    </x:row>
    <x:row r="9">
      <x:c r="A9" t="str">
        <x:v>MS-SIM-0008</x:v>
      </x:c>
      <x:c r="B9" t="str">
        <x:v>2026-10-19 18:00:07</x:v>
      </x:c>
      <x:c r="C9" t="str">
        <x:v>ESP32-DEMO-01</x:v>
      </x:c>
      <x:c r="D9" t="str">
        <x:v>Algae</x:v>
      </x:c>
      <x:c r="E9" t="n">
        <x:v>27.5</x:v>
      </x:c>
      <x:c r="F9" t="n">
        <x:v>7.78</x:v>
      </x:c>
      <x:c r="G9" t="n">
        <x:v>256</x:v>
      </x:c>
      <x:c r="H9" t="n">
        <x:v>4.51</x:v>
      </x:c>
      <x:c r="I9" t="n">
        <x:v>2.54</x:v>
      </x:c>
      <x:c r="J9" t="n">
        <x:v>23.4</x:v>
      </x:c>
      <x:c r="K9" t="n">
        <x:v>0.59</x:v>
      </x:c>
      <x:c r="L9" t="n">
        <x:v>1</x:v>
      </x:c>
      <x:c r="M9" t="n">
        <x:v>1</x:v>
      </x:c>
      <x:c r="N9" t="str">
        <x:v>IMG-0008</x:v>
      </x:c>
      <x:c r="O9" t="str">
        <x:v>SYNTHETIC ILLUSTRATION</x:v>
      </x:c>
      <x:c r="P9" t="str">
        <x:v>NOT_VERIFIED</x:v>
      </x:c>
      <x:c r="Q9" t="str">
        <x:v>LAB-0008</x:v>
      </x:c>
      <x:c r="R9" t="str">
        <x:v>Microscopy / pigment</x:v>
      </x:c>
      <x:c r="S9" t="str">
        <x:v>SIM_NEG</x:v>
      </x:c>
      <x:c r="T9" t="str">
        <x:v>NOT_VERIFIED</x:v>
      </x:c>
      <x:c r="U9" t="n">
        <x:f>MIN(100,MAX(0,(E9-25)*1.5+H9*2+J9*0.25+IF(K9&lt;0.2,15,0)))</x:f>
        <x:v>18.619999999999997</x:v>
      </x:c>
      <x:c r="V9" t="str">
        <x:f>IF(U9&gt;=60,"DEMO HIGH",IF(U9&gt;=30,"DEMO MEDIUM","DEMO LOW"))</x:f>
        <x:v>DEMO LOW</x:v>
      </x:c>
      <x:c r="W9" t="str">
        <x:f>IF(OR(L9&lt;&gt;1,M9&lt;&gt;1,I9&lt;=0),"STOP - FAIL CLOSED","DEMO: VALVE INHIBITED")</x:f>
        <x:v>DEMO: VALVE INHIBITED</x:v>
      </x:c>
      <x:c r="X9" s="8" t="str">
        <x:f>IF(AND(P9="VERIFIED",T9="VERIFIED",Z9="REAL PAIRED"),"REVIEW FOR TRAINING","DEMO ONLY")</x:f>
        <x:v>DEMO ONLY</x:v>
      </x:c>
      <x:c r="Y9" t="str">
        <x:v>1 Sample → 2 MQTT → 3 Risk → 4 Image → 5 Lab → 6 Interlock → 7 Dashboard → 8 Store → 9 Review</x:v>
      </x:c>
      <x:c r="Z9" s="6" t="str">
        <x:v>SYNTHETIC / NOT VERIFIED</x:v>
      </x:c>
    </x:row>
    <x:row r="10">
      <x:c r="A10" t="str">
        <x:v>MS-SIM-0009</x:v>
      </x:c>
      <x:c r="B10" t="str">
        <x:v>2026-10-19 18:00:08</x:v>
      </x:c>
      <x:c r="C10" t="str">
        <x:v>ESP32-DEMO-01</x:v>
      </x:c>
      <x:c r="D10" t="str">
        <x:v>Legionella</x:v>
      </x:c>
      <x:c r="E10" t="n">
        <x:v>38.8</x:v>
      </x:c>
      <x:c r="F10" t="n">
        <x:v>7.96</x:v>
      </x:c>
      <x:c r="G10" t="n">
        <x:v>1078</x:v>
      </x:c>
      <x:c r="H10" t="n">
        <x:v>3.06</x:v>
      </x:c>
      <x:c r="I10" t="n">
        <x:v>1.66</x:v>
      </x:c>
      <x:c r="J10" t="n">
        <x:v>86.6</x:v>
      </x:c>
      <x:c r="K10" t="n">
        <x:v>0.79</x:v>
      </x:c>
      <x:c r="L10" t="n">
        <x:v>1</x:v>
      </x:c>
      <x:c r="M10" t="n">
        <x:v>1</x:v>
      </x:c>
      <x:c r="N10" t="str">
        <x:v>IMG-0009</x:v>
      </x:c>
      <x:c r="O10" t="str">
        <x:v>SYNTHETIC ILLUSTRATION</x:v>
      </x:c>
      <x:c r="P10" t="str">
        <x:v>NOT_VERIFIED</x:v>
      </x:c>
      <x:c r="Q10" t="str">
        <x:v>LAB-0009</x:v>
      </x:c>
      <x:c r="R10" t="str">
        <x:v>Culture / qPCR</x:v>
      </x:c>
      <x:c r="S10" t="str">
        <x:v>SIM_NEG</x:v>
      </x:c>
      <x:c r="T10" t="str">
        <x:v>NOT_VERIFIED</x:v>
      </x:c>
      <x:c r="U10" t="n">
        <x:f>MIN(100,MAX(0,(E10-25)*1.5+H10*2+J10*0.25+IF(K10&lt;0.2,15,0)))</x:f>
        <x:v>48.47</x:v>
      </x:c>
      <x:c r="V10" t="str">
        <x:f>IF(U10&gt;=60,"DEMO HIGH",IF(U10&gt;=30,"DEMO MEDIUM","DEMO LOW"))</x:f>
        <x:v>DEMO MEDIUM</x:v>
      </x:c>
      <x:c r="W10" t="str">
        <x:f>IF(OR(L10&lt;&gt;1,M10&lt;&gt;1,I10&lt;=0),"STOP - FAIL CLOSED","DEMO: VALVE INHIBITED")</x:f>
        <x:v>DEMO: VALVE INHIBITED</x:v>
      </x:c>
      <x:c r="X10" s="8" t="str">
        <x:f>IF(AND(P10="VERIFIED",T10="VERIFIED",Z10="REAL PAIRED"),"REVIEW FOR TRAINING","DEMO ONLY")</x:f>
        <x:v>DEMO ONLY</x:v>
      </x:c>
      <x:c r="Y10" t="str">
        <x:v>1 Sample → 2 MQTT → 3 Risk → 4 Image → 5 Lab → 6 Interlock → 7 Dashboard → 8 Store → 9 Review</x:v>
      </x:c>
      <x:c r="Z10" s="6" t="str">
        <x:v>SYNTHETIC / NOT VERIFIED</x:v>
      </x:c>
    </x:row>
    <x:row r="11">
      <x:c r="A11" t="str">
        <x:v>MS-SIM-0010</x:v>
      </x:c>
      <x:c r="B11" t="str">
        <x:v>2026-10-19 18:00:09</x:v>
      </x:c>
      <x:c r="C11" t="str">
        <x:v>ESP32-DEMO-01</x:v>
      </x:c>
      <x:c r="D11" t="str">
        <x:v>Viruses</x:v>
      </x:c>
      <x:c r="E11" t="n">
        <x:v>33.7</x:v>
      </x:c>
      <x:c r="F11" t="n">
        <x:v>7.57</x:v>
      </x:c>
      <x:c r="G11" t="n">
        <x:v>1574</x:v>
      </x:c>
      <x:c r="H11" t="n">
        <x:v>7.75</x:v>
      </x:c>
      <x:c r="I11" t="n">
        <x:v>2.61</x:v>
      </x:c>
      <x:c r="J11" t="n">
        <x:v>7.4</x:v>
      </x:c>
      <x:c r="K11" t="n">
        <x:v>0.23</x:v>
      </x:c>
      <x:c r="L11" t="n">
        <x:v>1</x:v>
      </x:c>
      <x:c r="M11" t="n">
        <x:v>1</x:v>
      </x:c>
      <x:c r="N11" t="str">
        <x:v>IMG-0010</x:v>
      </x:c>
      <x:c r="O11" t="str">
        <x:v>SYNTHETIC ILLUSTRATION</x:v>
      </x:c>
      <x:c r="P11" t="str">
        <x:v>NOT_VERIFIED</x:v>
      </x:c>
      <x:c r="Q11" t="str">
        <x:v>LAB-0010</x:v>
      </x:c>
      <x:c r="R11" t="str">
        <x:v>RT-qPCR</x:v>
      </x:c>
      <x:c r="S11" t="str">
        <x:v>SIM_POS</x:v>
      </x:c>
      <x:c r="T11" t="str">
        <x:v>NOT_VERIFIED</x:v>
      </x:c>
      <x:c r="U11" t="n">
        <x:f>MIN(100,MAX(0,(E11-25)*1.5+H11*2+J11*0.25+IF(K11&lt;0.2,15,0)))</x:f>
        <x:v>30.400000000000006</x:v>
      </x:c>
      <x:c r="V11" t="str">
        <x:f>IF(U11&gt;=60,"DEMO HIGH",IF(U11&gt;=30,"DEMO MEDIUM","DEMO LOW"))</x:f>
        <x:v>DEMO MEDIUM</x:v>
      </x:c>
      <x:c r="W11" t="str">
        <x:f>IF(OR(L11&lt;&gt;1,M11&lt;&gt;1,I11&lt;=0),"STOP - FAIL CLOSED","DEMO: VALVE INHIBITED")</x:f>
        <x:v>DEMO: VALVE INHIBITED</x:v>
      </x:c>
      <x:c r="X11" s="8" t="str">
        <x:f>IF(AND(P11="VERIFIED",T11="VERIFIED",Z11="REAL PAIRED"),"REVIEW FOR TRAINING","DEMO ONLY")</x:f>
        <x:v>DEMO ONLY</x:v>
      </x:c>
      <x:c r="Y11" t="str">
        <x:v>1 Sample → 2 MQTT → 3 Risk → 4 Image → 5 Lab → 6 Interlock → 7 Dashboard → 8 Store → 9 Review</x:v>
      </x:c>
      <x:c r="Z11" s="6" t="str">
        <x:v>SYNTHETIC / NOT VERIFIED</x:v>
      </x:c>
    </x:row>
    <x:row r="12">
      <x:c r="A12" t="str">
        <x:v>MS-SIM-0011</x:v>
      </x:c>
      <x:c r="B12" t="str">
        <x:v>2026-10-19 18:00:10</x:v>
      </x:c>
      <x:c r="C12" t="str">
        <x:v>ESP32-DEMO-01</x:v>
      </x:c>
      <x:c r="D12" t="str">
        <x:v>Microplastics</x:v>
      </x:c>
      <x:c r="E12" t="n">
        <x:v>39.1</x:v>
      </x:c>
      <x:c r="F12" t="n">
        <x:v>7.81</x:v>
      </x:c>
      <x:c r="G12" t="n">
        <x:v>1295</x:v>
      </x:c>
      <x:c r="H12" t="n">
        <x:v>6.21</x:v>
      </x:c>
      <x:c r="I12" t="n">
        <x:v>2.96</x:v>
      </x:c>
      <x:c r="J12" t="n">
        <x:v>3</x:v>
      </x:c>
      <x:c r="K12" t="n">
        <x:v>0.23</x:v>
      </x:c>
      <x:c r="L12" t="n">
        <x:v>1</x:v>
      </x:c>
      <x:c r="M12" t="n">
        <x:v>1</x:v>
      </x:c>
      <x:c r="N12" t="str">
        <x:v>IMG-0011</x:v>
      </x:c>
      <x:c r="O12" t="str">
        <x:v>SYNTHETIC ILLUSTRATION</x:v>
      </x:c>
      <x:c r="P12" t="str">
        <x:v>NOT_VERIFIED</x:v>
      </x:c>
      <x:c r="Q12" t="str">
        <x:v>LAB-0011</x:v>
      </x:c>
      <x:c r="R12" t="str">
        <x:v>FTIR / Raman</x:v>
      </x:c>
      <x:c r="S12" t="str">
        <x:v>SIM_NEG</x:v>
      </x:c>
      <x:c r="T12" t="str">
        <x:v>NOT_VERIFIED</x:v>
      </x:c>
      <x:c r="U12" t="n">
        <x:f>MIN(100,MAX(0,(E12-25)*1.5+H12*2+J12*0.25+IF(K12&lt;0.2,15,0)))</x:f>
        <x:v>34.32</x:v>
      </x:c>
      <x:c r="V12" t="str">
        <x:f>IF(U12&gt;=60,"DEMO HIGH",IF(U12&gt;=30,"DEMO MEDIUM","DEMO LOW"))</x:f>
        <x:v>DEMO MEDIUM</x:v>
      </x:c>
      <x:c r="W12" t="str">
        <x:f>IF(OR(L12&lt;&gt;1,M12&lt;&gt;1,I12&lt;=0),"STOP - FAIL CLOSED","DEMO: VALVE INHIBITED")</x:f>
        <x:v>DEMO: VALVE INHIBITED</x:v>
      </x:c>
      <x:c r="X12" s="8" t="str">
        <x:f>IF(AND(P12="VERIFIED",T12="VERIFIED",Z12="REAL PAIRED"),"REVIEW FOR TRAINING","DEMO ONLY")</x:f>
        <x:v>DEMO ONLY</x:v>
      </x:c>
      <x:c r="Y12" t="str">
        <x:v>1 Sample → 2 MQTT → 3 Risk → 4 Image → 5 Lab → 6 Interlock → 7 Dashboard → 8 Store → 9 Review</x:v>
      </x:c>
      <x:c r="Z12" s="6" t="str">
        <x:v>SYNTHETIC / NOT VERIFIED</x:v>
      </x:c>
    </x:row>
    <x:row r="13">
      <x:c r="A13" t="str">
        <x:v>MS-SIM-0012</x:v>
      </x:c>
      <x:c r="B13" t="str">
        <x:v>2026-10-19 18:00:11</x:v>
      </x:c>
      <x:c r="C13" t="str">
        <x:v>ESP32-DEMO-01</x:v>
      </x:c>
      <x:c r="D13" t="str">
        <x:v>Algae</x:v>
      </x:c>
      <x:c r="E13" t="n">
        <x:v>35.5</x:v>
      </x:c>
      <x:c r="F13" t="n">
        <x:v>7.74</x:v>
      </x:c>
      <x:c r="G13" t="n">
        <x:v>1144</x:v>
      </x:c>
      <x:c r="H13" t="n">
        <x:v>6.71</x:v>
      </x:c>
      <x:c r="I13" t="n">
        <x:v>2.32</x:v>
      </x:c>
      <x:c r="J13" t="n">
        <x:v>71.9</x:v>
      </x:c>
      <x:c r="K13" t="n">
        <x:v>0.27</x:v>
      </x:c>
      <x:c r="L13" t="n">
        <x:v>1</x:v>
      </x:c>
      <x:c r="M13" t="n">
        <x:v>1</x:v>
      </x:c>
      <x:c r="N13" t="str">
        <x:v>IMG-0012</x:v>
      </x:c>
      <x:c r="O13" t="str">
        <x:v>SYNTHETIC ILLUSTRATION</x:v>
      </x:c>
      <x:c r="P13" t="str">
        <x:v>NOT_VERIFIED</x:v>
      </x:c>
      <x:c r="Q13" t="str">
        <x:v>LAB-0012</x:v>
      </x:c>
      <x:c r="R13" t="str">
        <x:v>Microscopy / pigment</x:v>
      </x:c>
      <x:c r="S13" t="str">
        <x:v>SIM_NEG</x:v>
      </x:c>
      <x:c r="T13" t="str">
        <x:v>NOT_VERIFIED</x:v>
      </x:c>
      <x:c r="U13" t="n">
        <x:f>MIN(100,MAX(0,(E13-25)*1.5+H13*2+J13*0.25+IF(K13&lt;0.2,15,0)))</x:f>
        <x:v>47.145</x:v>
      </x:c>
      <x:c r="V13" t="str">
        <x:f>IF(U13&gt;=60,"DEMO HIGH",IF(U13&gt;=30,"DEMO MEDIUM","DEMO LOW"))</x:f>
        <x:v>DEMO MEDIUM</x:v>
      </x:c>
      <x:c r="W13" t="str">
        <x:f>IF(OR(L13&lt;&gt;1,M13&lt;&gt;1,I13&lt;=0),"STOP - FAIL CLOSED","DEMO: VALVE INHIBITED")</x:f>
        <x:v>DEMO: VALVE INHIBITED</x:v>
      </x:c>
      <x:c r="X13" s="8" t="str">
        <x:f>IF(AND(P13="VERIFIED",T13="VERIFIED",Z13="REAL PAIRED"),"REVIEW FOR TRAINING","DEMO ONLY")</x:f>
        <x:v>DEMO ONLY</x:v>
      </x:c>
      <x:c r="Y13" t="str">
        <x:v>1 Sample → 2 MQTT → 3 Risk → 4 Image → 5 Lab → 6 Interlock → 7 Dashboard → 8 Store → 9 Review</x:v>
      </x:c>
      <x:c r="Z13" s="6" t="str">
        <x:v>SYNTHETIC / NOT VERIFIED</x:v>
      </x:c>
    </x:row>
    <x:row r="14">
      <x:c r="A14" t="str">
        <x:v>MS-SIM-0013</x:v>
      </x:c>
      <x:c r="B14" t="str">
        <x:v>2026-10-19 18:00:12</x:v>
      </x:c>
      <x:c r="C14" t="str">
        <x:v>ESP32-DEMO-01</x:v>
      </x:c>
      <x:c r="D14" t="str">
        <x:v>Legionella</x:v>
      </x:c>
      <x:c r="E14" t="n">
        <x:v>22.5</x:v>
      </x:c>
      <x:c r="F14" t="n">
        <x:v>7.08</x:v>
      </x:c>
      <x:c r="G14" t="n">
        <x:v>684</x:v>
      </x:c>
      <x:c r="H14" t="n">
        <x:v>13.91</x:v>
      </x:c>
      <x:c r="I14" t="n">
        <x:v>3.07</x:v>
      </x:c>
      <x:c r="J14" t="n">
        <x:v>62.3</x:v>
      </x:c>
      <x:c r="K14" t="n">
        <x:v>0.16</x:v>
      </x:c>
      <x:c r="L14" t="n">
        <x:v>1</x:v>
      </x:c>
      <x:c r="M14" t="n">
        <x:v>1</x:v>
      </x:c>
      <x:c r="N14" t="str">
        <x:v>IMG-0013</x:v>
      </x:c>
      <x:c r="O14" t="str">
        <x:v>SYNTHETIC ILLUSTRATION</x:v>
      </x:c>
      <x:c r="P14" t="str">
        <x:v>NOT_VERIFIED</x:v>
      </x:c>
      <x:c r="Q14" t="str">
        <x:v>LAB-0013</x:v>
      </x:c>
      <x:c r="R14" t="str">
        <x:v>Culture / qPCR</x:v>
      </x:c>
      <x:c r="S14" t="str">
        <x:v>SIM_POS</x:v>
      </x:c>
      <x:c r="T14" t="str">
        <x:v>NOT_VERIFIED</x:v>
      </x:c>
      <x:c r="U14" t="n">
        <x:f>MIN(100,MAX(0,(E14-25)*1.5+H14*2+J14*0.25+IF(K14&lt;0.2,15,0)))</x:f>
        <x:v>54.644999999999996</x:v>
      </x:c>
      <x:c r="V14" t="str">
        <x:f>IF(U14&gt;=60,"DEMO HIGH",IF(U14&gt;=30,"DEMO MEDIUM","DEMO LOW"))</x:f>
        <x:v>DEMO MEDIUM</x:v>
      </x:c>
      <x:c r="W14" t="str">
        <x:f>IF(OR(L14&lt;&gt;1,M14&lt;&gt;1,I14&lt;=0),"STOP - FAIL CLOSED","DEMO: VALVE INHIBITED")</x:f>
        <x:v>DEMO: VALVE INHIBITED</x:v>
      </x:c>
      <x:c r="X14" s="8" t="str">
        <x:f>IF(AND(P14="VERIFIED",T14="VERIFIED",Z14="REAL PAIRED"),"REVIEW FOR TRAINING","DEMO ONLY")</x:f>
        <x:v>DEMO ONLY</x:v>
      </x:c>
      <x:c r="Y14" t="str">
        <x:v>1 Sample → 2 MQTT → 3 Risk → 4 Image → 5 Lab → 6 Interlock → 7 Dashboard → 8 Store → 9 Review</x:v>
      </x:c>
      <x:c r="Z14" s="6" t="str">
        <x:v>SYNTHETIC / NOT VERIFIED</x:v>
      </x:c>
    </x:row>
    <x:row r="15">
      <x:c r="A15" t="str">
        <x:v>MS-SIM-0014</x:v>
      </x:c>
      <x:c r="B15" t="str">
        <x:v>2026-10-19 18:00:13</x:v>
      </x:c>
      <x:c r="C15" t="str">
        <x:v>ESP32-DEMO-01</x:v>
      </x:c>
      <x:c r="D15" t="str">
        <x:v>Viruses</x:v>
      </x:c>
      <x:c r="E15" t="n">
        <x:v>41.3</x:v>
      </x:c>
      <x:c r="F15" t="n">
        <x:v>6.81</x:v>
      </x:c>
      <x:c r="G15" t="n">
        <x:v>391</x:v>
      </x:c>
      <x:c r="H15" t="n">
        <x:v>11.03</x:v>
      </x:c>
      <x:c r="I15" t="n">
        <x:v>1.23</x:v>
      </x:c>
      <x:c r="J15" t="n">
        <x:v>35.3</x:v>
      </x:c>
      <x:c r="K15" t="n">
        <x:v>0.23</x:v>
      </x:c>
      <x:c r="L15" t="n">
        <x:v>0</x:v>
      </x:c>
      <x:c r="M15" t="n">
        <x:v>1</x:v>
      </x:c>
      <x:c r="N15" t="str">
        <x:v>IMG-0014</x:v>
      </x:c>
      <x:c r="O15" t="str">
        <x:v>SYNTHETIC ILLUSTRATION</x:v>
      </x:c>
      <x:c r="P15" t="str">
        <x:v>NOT_VERIFIED</x:v>
      </x:c>
      <x:c r="Q15" t="str">
        <x:v>LAB-0014</x:v>
      </x:c>
      <x:c r="R15" t="str">
        <x:v>RT-qPCR</x:v>
      </x:c>
      <x:c r="S15" t="str">
        <x:v>SIM_NEG</x:v>
      </x:c>
      <x:c r="T15" t="str">
        <x:v>NOT_VERIFIED</x:v>
      </x:c>
      <x:c r="U15" t="n">
        <x:f>MIN(100,MAX(0,(E15-25)*1.5+H15*2+J15*0.25+IF(K15&lt;0.2,15,0)))</x:f>
        <x:v>55.334999999999994</x:v>
      </x:c>
      <x:c r="V15" t="str">
        <x:f>IF(U15&gt;=60,"DEMO HIGH",IF(U15&gt;=30,"DEMO MEDIUM","DEMO LOW"))</x:f>
        <x:v>DEMO MEDIUM</x:v>
      </x:c>
      <x:c r="W15" t="str">
        <x:f>IF(OR(L15&lt;&gt;1,M15&lt;&gt;1,I15&lt;=0),"STOP - FAIL CLOSED","DEMO: VALVE INHIBITED")</x:f>
        <x:v>STOP - FAIL CLOSED</x:v>
      </x:c>
      <x:c r="X15" s="8" t="str">
        <x:f>IF(AND(P15="VERIFIED",T15="VERIFIED",Z15="REAL PAIRED"),"REVIEW FOR TRAINING","DEMO ONLY")</x:f>
        <x:v>DEMO ONLY</x:v>
      </x:c>
      <x:c r="Y15" t="str">
        <x:v>1 Sample → 2 MQTT → 3 Risk → 4 Image → 5 Lab → 6 Interlock → 7 Dashboard → 8 Store → 9 Review</x:v>
      </x:c>
      <x:c r="Z15" s="6" t="str">
        <x:v>SYNTHETIC / NOT VERIFIED</x:v>
      </x:c>
    </x:row>
    <x:row r="16">
      <x:c r="A16" t="str">
        <x:v>MS-SIM-0015</x:v>
      </x:c>
      <x:c r="B16" t="str">
        <x:v>2026-10-19 18:00:14</x:v>
      </x:c>
      <x:c r="C16" t="str">
        <x:v>ESP32-DEMO-01</x:v>
      </x:c>
      <x:c r="D16" t="str">
        <x:v>Microplastics</x:v>
      </x:c>
      <x:c r="E16" t="n">
        <x:v>22</x:v>
      </x:c>
      <x:c r="F16" t="n">
        <x:v>6.79</x:v>
      </x:c>
      <x:c r="G16" t="n">
        <x:v>294</x:v>
      </x:c>
      <x:c r="H16" t="n">
        <x:v>0.49</x:v>
      </x:c>
      <x:c r="I16" t="n">
        <x:v>0.33</x:v>
      </x:c>
      <x:c r="J16" t="n">
        <x:v>16.3</x:v>
      </x:c>
      <x:c r="K16" t="n">
        <x:v>0.42</x:v>
      </x:c>
      <x:c r="L16" t="n">
        <x:v>1</x:v>
      </x:c>
      <x:c r="M16" t="n">
        <x:v>1</x:v>
      </x:c>
      <x:c r="N16" t="str">
        <x:v>IMG-0015</x:v>
      </x:c>
      <x:c r="O16" t="str">
        <x:v>SYNTHETIC ILLUSTRATION</x:v>
      </x:c>
      <x:c r="P16" t="str">
        <x:v>NOT_VERIFIED</x:v>
      </x:c>
      <x:c r="Q16" t="str">
        <x:v>LAB-0015</x:v>
      </x:c>
      <x:c r="R16" t="str">
        <x:v>FTIR / Raman</x:v>
      </x:c>
      <x:c r="S16" t="str">
        <x:v>SIM_NEG</x:v>
      </x:c>
      <x:c r="T16" t="str">
        <x:v>NOT_VERIFIED</x:v>
      </x:c>
      <x:c r="U16" t="n">
        <x:f>MIN(100,MAX(0,(E16-25)*1.5+H16*2+J16*0.25+IF(K16&lt;0.2,15,0)))</x:f>
        <x:v>0.5550000000000002</x:v>
      </x:c>
      <x:c r="V16" t="str">
        <x:f>IF(U16&gt;=60,"DEMO HIGH",IF(U16&gt;=30,"DEMO MEDIUM","DEMO LOW"))</x:f>
        <x:v>DEMO LOW</x:v>
      </x:c>
      <x:c r="W16" t="str">
        <x:f>IF(OR(L16&lt;&gt;1,M16&lt;&gt;1,I16&lt;=0),"STOP - FAIL CLOSED","DEMO: VALVE INHIBITED")</x:f>
        <x:v>DEMO: VALVE INHIBITED</x:v>
      </x:c>
      <x:c r="X16" s="8" t="str">
        <x:f>IF(AND(P16="VERIFIED",T16="VERIFIED",Z16="REAL PAIRED"),"REVIEW FOR TRAINING","DEMO ONLY")</x:f>
        <x:v>DEMO ONLY</x:v>
      </x:c>
      <x:c r="Y16" t="str">
        <x:v>1 Sample → 2 MQTT → 3 Risk → 4 Image → 5 Lab → 6 Interlock → 7 Dashboard → 8 Store → 9 Review</x:v>
      </x:c>
      <x:c r="Z16" s="6" t="str">
        <x:v>SYNTHETIC / NOT VERIFIED</x:v>
      </x:c>
    </x:row>
    <x:row r="17">
      <x:c r="A17" t="str">
        <x:v>MS-SIM-0016</x:v>
      </x:c>
      <x:c r="B17" t="str">
        <x:v>2026-10-19 18:00:15</x:v>
      </x:c>
      <x:c r="C17" t="str">
        <x:v>ESP32-DEMO-01</x:v>
      </x:c>
      <x:c r="D17" t="str">
        <x:v>Algae</x:v>
      </x:c>
      <x:c r="E17" t="n">
        <x:v>32.3</x:v>
      </x:c>
      <x:c r="F17" t="n">
        <x:v>8.38</x:v>
      </x:c>
      <x:c r="G17" t="n">
        <x:v>1336</x:v>
      </x:c>
      <x:c r="H17" t="n">
        <x:v>7.49</x:v>
      </x:c>
      <x:c r="I17" t="n">
        <x:v>1.89</x:v>
      </x:c>
      <x:c r="J17" t="n">
        <x:v>0.9</x:v>
      </x:c>
      <x:c r="K17" t="n">
        <x:v>0.08</x:v>
      </x:c>
      <x:c r="L17" t="n">
        <x:v>1</x:v>
      </x:c>
      <x:c r="M17" t="n">
        <x:v>1</x:v>
      </x:c>
      <x:c r="N17" t="str">
        <x:v>IMG-0016</x:v>
      </x:c>
      <x:c r="O17" t="str">
        <x:v>SYNTHETIC ILLUSTRATION</x:v>
      </x:c>
      <x:c r="P17" t="str">
        <x:v>NOT_VERIFIED</x:v>
      </x:c>
      <x:c r="Q17" t="str">
        <x:v>LAB-0016</x:v>
      </x:c>
      <x:c r="R17" t="str">
        <x:v>Microscopy / pigment</x:v>
      </x:c>
      <x:c r="S17" t="str">
        <x:v>SIM_POS</x:v>
      </x:c>
      <x:c r="T17" t="str">
        <x:v>NOT_VERIFIED</x:v>
      </x:c>
      <x:c r="U17" t="n">
        <x:f>MIN(100,MAX(0,(E17-25)*1.5+H17*2+J17*0.25+IF(K17&lt;0.2,15,0)))</x:f>
        <x:v>41.155</x:v>
      </x:c>
      <x:c r="V17" t="str">
        <x:f>IF(U17&gt;=60,"DEMO HIGH",IF(U17&gt;=30,"DEMO MEDIUM","DEMO LOW"))</x:f>
        <x:v>DEMO MEDIUM</x:v>
      </x:c>
      <x:c r="W17" t="str">
        <x:f>IF(OR(L17&lt;&gt;1,M17&lt;&gt;1,I17&lt;=0),"STOP - FAIL CLOSED","DEMO: VALVE INHIBITED")</x:f>
        <x:v>DEMO: VALVE INHIBITED</x:v>
      </x:c>
      <x:c r="X17" s="8" t="str">
        <x:f>IF(AND(P17="VERIFIED",T17="VERIFIED",Z17="REAL PAIRED"),"REVIEW FOR TRAINING","DEMO ONLY")</x:f>
        <x:v>DEMO ONLY</x:v>
      </x:c>
      <x:c r="Y17" t="str">
        <x:v>1 Sample → 2 MQTT → 3 Risk → 4 Image → 5 Lab → 6 Interlock → 7 Dashboard → 8 Store → 9 Review</x:v>
      </x:c>
      <x:c r="Z17" s="6" t="str">
        <x:v>SYNTHETIC / NOT VERIFIED</x:v>
      </x:c>
    </x:row>
    <x:row r="18">
      <x:c r="A18" t="str">
        <x:v>MS-SIM-0017</x:v>
      </x:c>
      <x:c r="B18" t="str">
        <x:v>2026-10-19 18:00:16</x:v>
      </x:c>
      <x:c r="C18" t="str">
        <x:v>ESP32-DEMO-01</x:v>
      </x:c>
      <x:c r="D18" t="str">
        <x:v>Legionella</x:v>
      </x:c>
      <x:c r="E18" t="n">
        <x:v>39.6</x:v>
      </x:c>
      <x:c r="F18" t="n">
        <x:v>8.71</x:v>
      </x:c>
      <x:c r="G18" t="n">
        <x:v>674</x:v>
      </x:c>
      <x:c r="H18" t="n">
        <x:v>12.17</x:v>
      </x:c>
      <x:c r="I18" t="n">
        <x:v>2.83</x:v>
      </x:c>
      <x:c r="J18" t="n">
        <x:v>21.1</x:v>
      </x:c>
      <x:c r="K18" t="n">
        <x:v>0.07</x:v>
      </x:c>
      <x:c r="L18" t="n">
        <x:v>1</x:v>
      </x:c>
      <x:c r="M18" t="n">
        <x:v>1</x:v>
      </x:c>
      <x:c r="N18" t="str">
        <x:v>IMG-0017</x:v>
      </x:c>
      <x:c r="O18" t="str">
        <x:v>SYNTHETIC ILLUSTRATION</x:v>
      </x:c>
      <x:c r="P18" t="str">
        <x:v>NOT_VERIFIED</x:v>
      </x:c>
      <x:c r="Q18" t="str">
        <x:v>LAB-0017</x:v>
      </x:c>
      <x:c r="R18" t="str">
        <x:v>Culture / qPCR</x:v>
      </x:c>
      <x:c r="S18" t="str">
        <x:v>SIM_NEG</x:v>
      </x:c>
      <x:c r="T18" t="str">
        <x:v>NOT_VERIFIED</x:v>
      </x:c>
      <x:c r="U18" t="n">
        <x:f>MIN(100,MAX(0,(E18-25)*1.5+H18*2+J18*0.25+IF(K18&lt;0.2,15,0)))</x:f>
        <x:v>66.515</x:v>
      </x:c>
      <x:c r="V18" t="str">
        <x:f>IF(U18&gt;=60,"DEMO HIGH",IF(U18&gt;=30,"DEMO MEDIUM","DEMO LOW"))</x:f>
        <x:v>DEMO HIGH</x:v>
      </x:c>
      <x:c r="W18" t="str">
        <x:f>IF(OR(L18&lt;&gt;1,M18&lt;&gt;1,I18&lt;=0),"STOP - FAIL CLOSED","DEMO: VALVE INHIBITED")</x:f>
        <x:v>DEMO: VALVE INHIBITED</x:v>
      </x:c>
      <x:c r="X18" s="8" t="str">
        <x:f>IF(AND(P18="VERIFIED",T18="VERIFIED",Z18="REAL PAIRED"),"REVIEW FOR TRAINING","DEMO ONLY")</x:f>
        <x:v>DEMO ONLY</x:v>
      </x:c>
      <x:c r="Y18" t="str">
        <x:v>1 Sample → 2 MQTT → 3 Risk → 4 Image → 5 Lab → 6 Interlock → 7 Dashboard → 8 Store → 9 Review</x:v>
      </x:c>
      <x:c r="Z18" s="6" t="str">
        <x:v>SYNTHETIC / NOT VERIFIED</x:v>
      </x:c>
    </x:row>
    <x:row r="19">
      <x:c r="A19" t="str">
        <x:v>MS-SIM-0018</x:v>
      </x:c>
      <x:c r="B19" t="str">
        <x:v>2026-10-19 18:00:17</x:v>
      </x:c>
      <x:c r="C19" t="str">
        <x:v>ESP32-DEMO-01</x:v>
      </x:c>
      <x:c r="D19" t="str">
        <x:v>Viruses</x:v>
      </x:c>
      <x:c r="E19" t="n">
        <x:v>24.6</x:v>
      </x:c>
      <x:c r="F19" t="n">
        <x:v>6.71</x:v>
      </x:c>
      <x:c r="G19" t="n">
        <x:v>275</x:v>
      </x:c>
      <x:c r="H19" t="n">
        <x:v>7.76</x:v>
      </x:c>
      <x:c r="I19" t="n">
        <x:v>0.92</x:v>
      </x:c>
      <x:c r="J19" t="n">
        <x:v>80.7</x:v>
      </x:c>
      <x:c r="K19" t="n">
        <x:v>0.44</x:v>
      </x:c>
      <x:c r="L19" t="n">
        <x:v>1</x:v>
      </x:c>
      <x:c r="M19" t="n">
        <x:v>1</x:v>
      </x:c>
      <x:c r="N19" t="str">
        <x:v>IMG-0018</x:v>
      </x:c>
      <x:c r="O19" t="str">
        <x:v>SYNTHETIC ILLUSTRATION</x:v>
      </x:c>
      <x:c r="P19" t="str">
        <x:v>NOT_VERIFIED</x:v>
      </x:c>
      <x:c r="Q19" t="str">
        <x:v>LAB-0018</x:v>
      </x:c>
      <x:c r="R19" t="str">
        <x:v>RT-qPCR</x:v>
      </x:c>
      <x:c r="S19" t="str">
        <x:v>SIM_NEG</x:v>
      </x:c>
      <x:c r="T19" t="str">
        <x:v>NOT_VERIFIED</x:v>
      </x:c>
      <x:c r="U19" t="n">
        <x:f>MIN(100,MAX(0,(E19-25)*1.5+H19*2+J19*0.25+IF(K19&lt;0.2,15,0)))</x:f>
        <x:v>35.095</x:v>
      </x:c>
      <x:c r="V19" t="str">
        <x:f>IF(U19&gt;=60,"DEMO HIGH",IF(U19&gt;=30,"DEMO MEDIUM","DEMO LOW"))</x:f>
        <x:v>DEMO MEDIUM</x:v>
      </x:c>
      <x:c r="W19" t="str">
        <x:f>IF(OR(L19&lt;&gt;1,M19&lt;&gt;1,I19&lt;=0),"STOP - FAIL CLOSED","DEMO: VALVE INHIBITED")</x:f>
        <x:v>DEMO: VALVE INHIBITED</x:v>
      </x:c>
      <x:c r="X19" s="8" t="str">
        <x:f>IF(AND(P19="VERIFIED",T19="VERIFIED",Z19="REAL PAIRED"),"REVIEW FOR TRAINING","DEMO ONLY")</x:f>
        <x:v>DEMO ONLY</x:v>
      </x:c>
      <x:c r="Y19" t="str">
        <x:v>1 Sample → 2 MQTT → 3 Risk → 4 Image → 5 Lab → 6 Interlock → 7 Dashboard → 8 Store → 9 Review</x:v>
      </x:c>
      <x:c r="Z19" s="6" t="str">
        <x:v>SYNTHETIC / NOT VERIFIED</x:v>
      </x:c>
    </x:row>
    <x:row r="20">
      <x:c r="A20" t="str">
        <x:v>MS-SIM-0019</x:v>
      </x:c>
      <x:c r="B20" t="str">
        <x:v>2026-10-19 18:00:18</x:v>
      </x:c>
      <x:c r="C20" t="str">
        <x:v>ESP32-DEMO-01</x:v>
      </x:c>
      <x:c r="D20" t="str">
        <x:v>Microplastics</x:v>
      </x:c>
      <x:c r="E20" t="n">
        <x:v>33.5</x:v>
      </x:c>
      <x:c r="F20" t="n">
        <x:v>8.33</x:v>
      </x:c>
      <x:c r="G20" t="n">
        <x:v>1067</x:v>
      </x:c>
      <x:c r="H20" t="n">
        <x:v>13.86</x:v>
      </x:c>
      <x:c r="I20" t="n">
        <x:v>0.44</x:v>
      </x:c>
      <x:c r="J20" t="n">
        <x:v>44.2</x:v>
      </x:c>
      <x:c r="K20" t="n">
        <x:v>0.45</x:v>
      </x:c>
      <x:c r="L20" t="n">
        <x:v>1</x:v>
      </x:c>
      <x:c r="M20" t="n">
        <x:v>1</x:v>
      </x:c>
      <x:c r="N20" t="str">
        <x:v>IMG-0019</x:v>
      </x:c>
      <x:c r="O20" t="str">
        <x:v>SYNTHETIC ILLUSTRATION</x:v>
      </x:c>
      <x:c r="P20" t="str">
        <x:v>NOT_VERIFIED</x:v>
      </x:c>
      <x:c r="Q20" t="str">
        <x:v>LAB-0019</x:v>
      </x:c>
      <x:c r="R20" t="str">
        <x:v>FTIR / Raman</x:v>
      </x:c>
      <x:c r="S20" t="str">
        <x:v>SIM_POS</x:v>
      </x:c>
      <x:c r="T20" t="str">
        <x:v>NOT_VERIFIED</x:v>
      </x:c>
      <x:c r="U20" t="n">
        <x:f>MIN(100,MAX(0,(E20-25)*1.5+H20*2+J20*0.25+IF(K20&lt;0.2,15,0)))</x:f>
        <x:v>51.519999999999996</x:v>
      </x:c>
      <x:c r="V20" t="str">
        <x:f>IF(U20&gt;=60,"DEMO HIGH",IF(U20&gt;=30,"DEMO MEDIUM","DEMO LOW"))</x:f>
        <x:v>DEMO MEDIUM</x:v>
      </x:c>
      <x:c r="W20" t="str">
        <x:f>IF(OR(L20&lt;&gt;1,M20&lt;&gt;1,I20&lt;=0),"STOP - FAIL CLOSED","DEMO: VALVE INHIBITED")</x:f>
        <x:v>DEMO: VALVE INHIBITED</x:v>
      </x:c>
      <x:c r="X20" s="8" t="str">
        <x:f>IF(AND(P20="VERIFIED",T20="VERIFIED",Z20="REAL PAIRED"),"REVIEW FOR TRAINING","DEMO ONLY")</x:f>
        <x:v>DEMO ONLY</x:v>
      </x:c>
      <x:c r="Y20" t="str">
        <x:v>1 Sample → 2 MQTT → 3 Risk → 4 Image → 5 Lab → 6 Interlock → 7 Dashboard → 8 Store → 9 Review</x:v>
      </x:c>
      <x:c r="Z20" s="6" t="str">
        <x:v>SYNTHETIC / NOT VERIFIED</x:v>
      </x:c>
    </x:row>
    <x:row r="21">
      <x:c r="A21" t="str">
        <x:v>MS-SIM-0020</x:v>
      </x:c>
      <x:c r="B21" t="str">
        <x:v>2026-10-19 18:00:19</x:v>
      </x:c>
      <x:c r="C21" t="str">
        <x:v>ESP32-DEMO-01</x:v>
      </x:c>
      <x:c r="D21" t="str">
        <x:v>Algae</x:v>
      </x:c>
      <x:c r="E21" t="n">
        <x:v>42</x:v>
      </x:c>
      <x:c r="F21" t="n">
        <x:v>7.49</x:v>
      </x:c>
      <x:c r="G21" t="n">
        <x:v>695</x:v>
      </x:c>
      <x:c r="H21" t="n">
        <x:v>4.38</x:v>
      </x:c>
      <x:c r="I21" t="n">
        <x:v>2.73</x:v>
      </x:c>
      <x:c r="J21" t="n">
        <x:v>44</x:v>
      </x:c>
      <x:c r="K21" t="n">
        <x:v>0.13</x:v>
      </x:c>
      <x:c r="L21" t="n">
        <x:v>1</x:v>
      </x:c>
      <x:c r="M21" t="n">
        <x:v>1</x:v>
      </x:c>
      <x:c r="N21" t="str">
        <x:v>IMG-0020</x:v>
      </x:c>
      <x:c r="O21" t="str">
        <x:v>SYNTHETIC ILLUSTRATION</x:v>
      </x:c>
      <x:c r="P21" t="str">
        <x:v>NOT_VERIFIED</x:v>
      </x:c>
      <x:c r="Q21" t="str">
        <x:v>LAB-0020</x:v>
      </x:c>
      <x:c r="R21" t="str">
        <x:v>Microscopy / pigment</x:v>
      </x:c>
      <x:c r="S21" t="str">
        <x:v>SIM_NEG</x:v>
      </x:c>
      <x:c r="T21" t="str">
        <x:v>NOT_VERIFIED</x:v>
      </x:c>
      <x:c r="U21" t="n">
        <x:f>MIN(100,MAX(0,(E21-25)*1.5+H21*2+J21*0.25+IF(K21&lt;0.2,15,0)))</x:f>
        <x:v>60.26</x:v>
      </x:c>
      <x:c r="V21" t="str">
        <x:f>IF(U21&gt;=60,"DEMO HIGH",IF(U21&gt;=30,"DEMO MEDIUM","DEMO LOW"))</x:f>
        <x:v>DEMO HIGH</x:v>
      </x:c>
      <x:c r="W21" t="str">
        <x:f>IF(OR(L21&lt;&gt;1,M21&lt;&gt;1,I21&lt;=0),"STOP - FAIL CLOSED","DEMO: VALVE INHIBITED")</x:f>
        <x:v>DEMO: VALVE INHIBITED</x:v>
      </x:c>
      <x:c r="X21" s="8" t="str">
        <x:f>IF(AND(P21="VERIFIED",T21="VERIFIED",Z21="REAL PAIRED"),"REVIEW FOR TRAINING","DEMO ONLY")</x:f>
        <x:v>DEMO ONLY</x:v>
      </x:c>
      <x:c r="Y21" t="str">
        <x:v>1 Sample → 2 MQTT → 3 Risk → 4 Image → 5 Lab → 6 Interlock → 7 Dashboard → 8 Store → 9 Review</x:v>
      </x:c>
      <x:c r="Z21" s="6" t="str">
        <x:v>SYNTHETIC / NOT VERIFIED</x:v>
      </x:c>
    </x:row>
    <x:row r="22">
      <x:c r="A22" t="str">
        <x:v>MS-SIM-0021</x:v>
      </x:c>
      <x:c r="B22" t="str">
        <x:v>2026-10-19 18:00:20</x:v>
      </x:c>
      <x:c r="C22" t="str">
        <x:v>ESP32-DEMO-01</x:v>
      </x:c>
      <x:c r="D22" t="str">
        <x:v>Legionella</x:v>
      </x:c>
      <x:c r="E22" t="n">
        <x:v>42.4</x:v>
      </x:c>
      <x:c r="F22" t="n">
        <x:v>6.78</x:v>
      </x:c>
      <x:c r="G22" t="n">
        <x:v>846</x:v>
      </x:c>
      <x:c r="H22" t="n">
        <x:v>11.06</x:v>
      </x:c>
      <x:c r="I22" t="n">
        <x:v>2.67</x:v>
      </x:c>
      <x:c r="J22" t="n">
        <x:v>39.1</x:v>
      </x:c>
      <x:c r="K22" t="n">
        <x:v>0.46</x:v>
      </x:c>
      <x:c r="L22" t="n">
        <x:v>1</x:v>
      </x:c>
      <x:c r="M22" t="n">
        <x:v>1</x:v>
      </x:c>
      <x:c r="N22" t="str">
        <x:v>IMG-0021</x:v>
      </x:c>
      <x:c r="O22" t="str">
        <x:v>SYNTHETIC ILLUSTRATION</x:v>
      </x:c>
      <x:c r="P22" t="str">
        <x:v>NOT_VERIFIED</x:v>
      </x:c>
      <x:c r="Q22" t="str">
        <x:v>LAB-0021</x:v>
      </x:c>
      <x:c r="R22" t="str">
        <x:v>Culture / qPCR</x:v>
      </x:c>
      <x:c r="S22" t="str">
        <x:v>SIM_NEG</x:v>
      </x:c>
      <x:c r="T22" t="str">
        <x:v>NOT_VERIFIED</x:v>
      </x:c>
      <x:c r="U22" t="n">
        <x:f>MIN(100,MAX(0,(E22-25)*1.5+H22*2+J22*0.25+IF(K22&lt;0.2,15,0)))</x:f>
        <x:v>57.995</x:v>
      </x:c>
      <x:c r="V22" t="str">
        <x:f>IF(U22&gt;=60,"DEMO HIGH",IF(U22&gt;=30,"DEMO MEDIUM","DEMO LOW"))</x:f>
        <x:v>DEMO MEDIUM</x:v>
      </x:c>
      <x:c r="W22" t="str">
        <x:f>IF(OR(L22&lt;&gt;1,M22&lt;&gt;1,I22&lt;=0),"STOP - FAIL CLOSED","DEMO: VALVE INHIBITED")</x:f>
        <x:v>DEMO: VALVE INHIBITED</x:v>
      </x:c>
      <x:c r="X22" s="8" t="str">
        <x:f>IF(AND(P22="VERIFIED",T22="VERIFIED",Z22="REAL PAIRED"),"REVIEW FOR TRAINING","DEMO ONLY")</x:f>
        <x:v>DEMO ONLY</x:v>
      </x:c>
      <x:c r="Y22" t="str">
        <x:v>1 Sample → 2 MQTT → 3 Risk → 4 Image → 5 Lab → 6 Interlock → 7 Dashboard → 8 Store → 9 Review</x:v>
      </x:c>
      <x:c r="Z22" s="6" t="str">
        <x:v>SYNTHETIC / NOT VERIFIED</x:v>
      </x:c>
    </x:row>
    <x:row r="23">
      <x:c r="A23" t="str">
        <x:v>MS-SIM-0022</x:v>
      </x:c>
      <x:c r="B23" t="str">
        <x:v>2026-10-19 18:00:21</x:v>
      </x:c>
      <x:c r="C23" t="str">
        <x:v>ESP32-DEMO-01</x:v>
      </x:c>
      <x:c r="D23" t="str">
        <x:v>Viruses</x:v>
      </x:c>
      <x:c r="E23" t="n">
        <x:v>38</x:v>
      </x:c>
      <x:c r="F23" t="n">
        <x:v>6.66</x:v>
      </x:c>
      <x:c r="G23" t="n">
        <x:v>1305</x:v>
      </x:c>
      <x:c r="H23" t="n">
        <x:v>11.02</x:v>
      </x:c>
      <x:c r="I23" t="n">
        <x:v>1.67</x:v>
      </x:c>
      <x:c r="J23" t="n">
        <x:v>10.3</x:v>
      </x:c>
      <x:c r="K23" t="n">
        <x:v>0.21</x:v>
      </x:c>
      <x:c r="L23" t="n">
        <x:v>1</x:v>
      </x:c>
      <x:c r="M23" t="n">
        <x:v>1</x:v>
      </x:c>
      <x:c r="N23" t="str">
        <x:v>IMG-0022</x:v>
      </x:c>
      <x:c r="O23" t="str">
        <x:v>SYNTHETIC ILLUSTRATION</x:v>
      </x:c>
      <x:c r="P23" t="str">
        <x:v>NOT_VERIFIED</x:v>
      </x:c>
      <x:c r="Q23" t="str">
        <x:v>LAB-0022</x:v>
      </x:c>
      <x:c r="R23" t="str">
        <x:v>RT-qPCR</x:v>
      </x:c>
      <x:c r="S23" t="str">
        <x:v>SIM_POS</x:v>
      </x:c>
      <x:c r="T23" t="str">
        <x:v>NOT_VERIFIED</x:v>
      </x:c>
      <x:c r="U23" t="n">
        <x:f>MIN(100,MAX(0,(E23-25)*1.5+H23*2+J23*0.25+IF(K23&lt;0.2,15,0)))</x:f>
        <x:v>44.115</x:v>
      </x:c>
      <x:c r="V23" t="str">
        <x:f>IF(U23&gt;=60,"DEMO HIGH",IF(U23&gt;=30,"DEMO MEDIUM","DEMO LOW"))</x:f>
        <x:v>DEMO MEDIUM</x:v>
      </x:c>
      <x:c r="W23" t="str">
        <x:f>IF(OR(L23&lt;&gt;1,M23&lt;&gt;1,I23&lt;=0),"STOP - FAIL CLOSED","DEMO: VALVE INHIBITED")</x:f>
        <x:v>DEMO: VALVE INHIBITED</x:v>
      </x:c>
      <x:c r="X23" s="8" t="str">
        <x:f>IF(AND(P23="VERIFIED",T23="VERIFIED",Z23="REAL PAIRED"),"REVIEW FOR TRAINING","DEMO ONLY")</x:f>
        <x:v>DEMO ONLY</x:v>
      </x:c>
      <x:c r="Y23" t="str">
        <x:v>1 Sample → 2 MQTT → 3 Risk → 4 Image → 5 Lab → 6 Interlock → 7 Dashboard → 8 Store → 9 Review</x:v>
      </x:c>
      <x:c r="Z23" s="6" t="str">
        <x:v>SYNTHETIC / NOT VERIFIED</x:v>
      </x:c>
    </x:row>
    <x:row r="24">
      <x:c r="A24" t="str">
        <x:v>MS-SIM-0023</x:v>
      </x:c>
      <x:c r="B24" t="str">
        <x:v>2026-10-19 18:00:22</x:v>
      </x:c>
      <x:c r="C24" t="str">
        <x:v>ESP32-DEMO-01</x:v>
      </x:c>
      <x:c r="D24" t="str">
        <x:v>Microplastics</x:v>
      </x:c>
      <x:c r="E24" t="n">
        <x:v>38.7</x:v>
      </x:c>
      <x:c r="F24" t="n">
        <x:v>6.9</x:v>
      </x:c>
      <x:c r="G24" t="n">
        <x:v>232</x:v>
      </x:c>
      <x:c r="H24" t="n">
        <x:v>1.55</x:v>
      </x:c>
      <x:c r="I24" t="n">
        <x:v>1.58</x:v>
      </x:c>
      <x:c r="J24" t="n">
        <x:v>41.4</x:v>
      </x:c>
      <x:c r="K24" t="n">
        <x:v>0.24</x:v>
      </x:c>
      <x:c r="L24" t="n">
        <x:v>1</x:v>
      </x:c>
      <x:c r="M24" t="n">
        <x:v>1</x:v>
      </x:c>
      <x:c r="N24" t="str">
        <x:v>IMG-0023</x:v>
      </x:c>
      <x:c r="O24" t="str">
        <x:v>SYNTHETIC ILLUSTRATION</x:v>
      </x:c>
      <x:c r="P24" t="str">
        <x:v>NOT_VERIFIED</x:v>
      </x:c>
      <x:c r="Q24" t="str">
        <x:v>LAB-0023</x:v>
      </x:c>
      <x:c r="R24" t="str">
        <x:v>FTIR / Raman</x:v>
      </x:c>
      <x:c r="S24" t="str">
        <x:v>SIM_NEG</x:v>
      </x:c>
      <x:c r="T24" t="str">
        <x:v>NOT_VERIFIED</x:v>
      </x:c>
      <x:c r="U24" t="n">
        <x:f>MIN(100,MAX(0,(E24-25)*1.5+H24*2+J24*0.25+IF(K24&lt;0.2,15,0)))</x:f>
        <x:v>34.00000000000001</x:v>
      </x:c>
      <x:c r="V24" t="str">
        <x:f>IF(U24&gt;=60,"DEMO HIGH",IF(U24&gt;=30,"DEMO MEDIUM","DEMO LOW"))</x:f>
        <x:v>DEMO MEDIUM</x:v>
      </x:c>
      <x:c r="W24" t="str">
        <x:f>IF(OR(L24&lt;&gt;1,M24&lt;&gt;1,I24&lt;=0),"STOP - FAIL CLOSED","DEMO: VALVE INHIBITED")</x:f>
        <x:v>DEMO: VALVE INHIBITED</x:v>
      </x:c>
      <x:c r="X24" s="8" t="str">
        <x:f>IF(AND(P24="VERIFIED",T24="VERIFIED",Z24="REAL PAIRED"),"REVIEW FOR TRAINING","DEMO ONLY")</x:f>
        <x:v>DEMO ONLY</x:v>
      </x:c>
      <x:c r="Y24" t="str">
        <x:v>1 Sample → 2 MQTT → 3 Risk → 4 Image → 5 Lab → 6 Interlock → 7 Dashboard → 8 Store → 9 Review</x:v>
      </x:c>
      <x:c r="Z24" s="6" t="str">
        <x:v>SYNTHETIC / NOT VERIFIED</x:v>
      </x:c>
    </x:row>
    <x:row r="25">
      <x:c r="A25" t="str">
        <x:v>MS-SIM-0024</x:v>
      </x:c>
      <x:c r="B25" t="str">
        <x:v>2026-10-19 18:00:23</x:v>
      </x:c>
      <x:c r="C25" t="str">
        <x:v>ESP32-DEMO-01</x:v>
      </x:c>
      <x:c r="D25" t="str">
        <x:v>Algae</x:v>
      </x:c>
      <x:c r="E25" t="n">
        <x:v>33.4</x:v>
      </x:c>
      <x:c r="F25" t="n">
        <x:v>8.17</x:v>
      </x:c>
      <x:c r="G25" t="n">
        <x:v>1486</x:v>
      </x:c>
      <x:c r="H25" t="n">
        <x:v>13.49</x:v>
      </x:c>
      <x:c r="I25" t="n">
        <x:v>0.77</x:v>
      </x:c>
      <x:c r="J25" t="n">
        <x:v>61.2</x:v>
      </x:c>
      <x:c r="K25" t="n">
        <x:v>0.05</x:v>
      </x:c>
      <x:c r="L25" t="n">
        <x:v>1</x:v>
      </x:c>
      <x:c r="M25" t="n">
        <x:v>1</x:v>
      </x:c>
      <x:c r="N25" t="str">
        <x:v>IMG-0024</x:v>
      </x:c>
      <x:c r="O25" t="str">
        <x:v>SYNTHETIC ILLUSTRATION</x:v>
      </x:c>
      <x:c r="P25" t="str">
        <x:v>NOT_VERIFIED</x:v>
      </x:c>
      <x:c r="Q25" t="str">
        <x:v>LAB-0024</x:v>
      </x:c>
      <x:c r="R25" t="str">
        <x:v>Microscopy / pigment</x:v>
      </x:c>
      <x:c r="S25" t="str">
        <x:v>SIM_NEG</x:v>
      </x:c>
      <x:c r="T25" t="str">
        <x:v>NOT_VERIFIED</x:v>
      </x:c>
      <x:c r="U25" t="n">
        <x:f>MIN(100,MAX(0,(E25-25)*1.5+H25*2+J25*0.25+IF(K25&lt;0.2,15,0)))</x:f>
        <x:v>69.88</x:v>
      </x:c>
      <x:c r="V25" t="str">
        <x:f>IF(U25&gt;=60,"DEMO HIGH",IF(U25&gt;=30,"DEMO MEDIUM","DEMO LOW"))</x:f>
        <x:v>DEMO HIGH</x:v>
      </x:c>
      <x:c r="W25" t="str">
        <x:f>IF(OR(L25&lt;&gt;1,M25&lt;&gt;1,I25&lt;=0),"STOP - FAIL CLOSED","DEMO: VALVE INHIBITED")</x:f>
        <x:v>DEMO: VALVE INHIBITED</x:v>
      </x:c>
      <x:c r="X25" s="8" t="str">
        <x:f>IF(AND(P25="VERIFIED",T25="VERIFIED",Z25="REAL PAIRED"),"REVIEW FOR TRAINING","DEMO ONLY")</x:f>
        <x:v>DEMO ONLY</x:v>
      </x:c>
      <x:c r="Y25" t="str">
        <x:v>1 Sample → 2 MQTT → 3 Risk → 4 Image → 5 Lab → 6 Interlock → 7 Dashboard → 8 Store → 9 Review</x:v>
      </x:c>
      <x:c r="Z25" s="6" t="str">
        <x:v>SYNTHETIC / NOT VERIFIED</x:v>
      </x:c>
    </x:row>
    <x:row r="26">
      <x:c r="A26" t="str">
        <x:v>MS-SIM-0025</x:v>
      </x:c>
      <x:c r="B26" t="str">
        <x:v>2026-10-19 18:00:24</x:v>
      </x:c>
      <x:c r="C26" t="str">
        <x:v>ESP32-DEMO-01</x:v>
      </x:c>
      <x:c r="D26" t="str">
        <x:v>Legionella</x:v>
      </x:c>
      <x:c r="E26" t="n">
        <x:v>27.5</x:v>
      </x:c>
      <x:c r="F26" t="n">
        <x:v>7.66</x:v>
      </x:c>
      <x:c r="G26" t="n">
        <x:v>296</x:v>
      </x:c>
      <x:c r="H26" t="n">
        <x:v>11.05</x:v>
      </x:c>
      <x:c r="I26" t="n">
        <x:v>2.84</x:v>
      </x:c>
      <x:c r="J26" t="n">
        <x:v>63.8</x:v>
      </x:c>
      <x:c r="K26" t="n">
        <x:v>0.49</x:v>
      </x:c>
      <x:c r="L26" t="n">
        <x:v>1</x:v>
      </x:c>
      <x:c r="M26" t="n">
        <x:v>1</x:v>
      </x:c>
      <x:c r="N26" t="str">
        <x:v>IMG-0025</x:v>
      </x:c>
      <x:c r="O26" t="str">
        <x:v>SYNTHETIC ILLUSTRATION</x:v>
      </x:c>
      <x:c r="P26" t="str">
        <x:v>NOT_VERIFIED</x:v>
      </x:c>
      <x:c r="Q26" t="str">
        <x:v>LAB-0025</x:v>
      </x:c>
      <x:c r="R26" t="str">
        <x:v>Culture / qPCR</x:v>
      </x:c>
      <x:c r="S26" t="str">
        <x:v>SIM_POS</x:v>
      </x:c>
      <x:c r="T26" t="str">
        <x:v>NOT_VERIFIED</x:v>
      </x:c>
      <x:c r="U26" t="n">
        <x:f>MIN(100,MAX(0,(E26-25)*1.5+H26*2+J26*0.25+IF(K26&lt;0.2,15,0)))</x:f>
        <x:v>41.8</x:v>
      </x:c>
      <x:c r="V26" t="str">
        <x:f>IF(U26&gt;=60,"DEMO HIGH",IF(U26&gt;=30,"DEMO MEDIUM","DEMO LOW"))</x:f>
        <x:v>DEMO MEDIUM</x:v>
      </x:c>
      <x:c r="W26" t="str">
        <x:f>IF(OR(L26&lt;&gt;1,M26&lt;&gt;1,I26&lt;=0),"STOP - FAIL CLOSED","DEMO: VALVE INHIBITED")</x:f>
        <x:v>DEMO: VALVE INHIBITED</x:v>
      </x:c>
      <x:c r="X26" s="8" t="str">
        <x:f>IF(AND(P26="VERIFIED",T26="VERIFIED",Z26="REAL PAIRED"),"REVIEW FOR TRAINING","DEMO ONLY")</x:f>
        <x:v>DEMO ONLY</x:v>
      </x:c>
      <x:c r="Y26" t="str">
        <x:v>1 Sample → 2 MQTT → 3 Risk → 4 Image → 5 Lab → 6 Interlock → 7 Dashboard → 8 Store → 9 Review</x:v>
      </x:c>
      <x:c r="Z26" s="6" t="str">
        <x:v>SYNTHETIC / NOT VERIFIED</x:v>
      </x:c>
    </x:row>
    <x:row r="27">
      <x:c r="A27" t="str">
        <x:v>MS-SIM-0026</x:v>
      </x:c>
      <x:c r="B27" t="str">
        <x:v>2026-10-19 18:00:25</x:v>
      </x:c>
      <x:c r="C27" t="str">
        <x:v>ESP32-DEMO-01</x:v>
      </x:c>
      <x:c r="D27" t="str">
        <x:v>Viruses</x:v>
      </x:c>
      <x:c r="E27" t="n">
        <x:v>33.3</x:v>
      </x:c>
      <x:c r="F27" t="n">
        <x:v>8.4</x:v>
      </x:c>
      <x:c r="G27" t="n">
        <x:v>1010</x:v>
      </x:c>
      <x:c r="H27" t="n">
        <x:v>5.89</x:v>
      </x:c>
      <x:c r="I27" t="n">
        <x:v>2.25</x:v>
      </x:c>
      <x:c r="J27" t="n">
        <x:v>80.8</x:v>
      </x:c>
      <x:c r="K27" t="n">
        <x:v>0.59</x:v>
      </x:c>
      <x:c r="L27" t="n">
        <x:v>1</x:v>
      </x:c>
      <x:c r="M27" t="n">
        <x:v>1</x:v>
      </x:c>
      <x:c r="N27" t="str">
        <x:v>IMG-0026</x:v>
      </x:c>
      <x:c r="O27" t="str">
        <x:v>SYNTHETIC ILLUSTRATION</x:v>
      </x:c>
      <x:c r="P27" t="str">
        <x:v>NOT_VERIFIED</x:v>
      </x:c>
      <x:c r="Q27" t="str">
        <x:v>LAB-0026</x:v>
      </x:c>
      <x:c r="R27" t="str">
        <x:v>RT-qPCR</x:v>
      </x:c>
      <x:c r="S27" t="str">
        <x:v>SIM_NEG</x:v>
      </x:c>
      <x:c r="T27" t="str">
        <x:v>NOT_VERIFIED</x:v>
      </x:c>
      <x:c r="U27" t="n">
        <x:f>MIN(100,MAX(0,(E27-25)*1.5+H27*2+J27*0.25+IF(K27&lt;0.2,15,0)))</x:f>
        <x:v>44.42999999999999</x:v>
      </x:c>
      <x:c r="V27" t="str">
        <x:f>IF(U27&gt;=60,"DEMO HIGH",IF(U27&gt;=30,"DEMO MEDIUM","DEMO LOW"))</x:f>
        <x:v>DEMO MEDIUM</x:v>
      </x:c>
      <x:c r="W27" t="str">
        <x:f>IF(OR(L27&lt;&gt;1,M27&lt;&gt;1,I27&lt;=0),"STOP - FAIL CLOSED","DEMO: VALVE INHIBITED")</x:f>
        <x:v>DEMO: VALVE INHIBITED</x:v>
      </x:c>
      <x:c r="X27" s="8" t="str">
        <x:f>IF(AND(P27="VERIFIED",T27="VERIFIED",Z27="REAL PAIRED"),"REVIEW FOR TRAINING","DEMO ONLY")</x:f>
        <x:v>DEMO ONLY</x:v>
      </x:c>
      <x:c r="Y27" t="str">
        <x:v>1 Sample → 2 MQTT → 3 Risk → 4 Image → 5 Lab → 6 Interlock → 7 Dashboard → 8 Store → 9 Review</x:v>
      </x:c>
      <x:c r="Z27" s="6" t="str">
        <x:v>SYNTHETIC / NOT VERIFIED</x:v>
      </x:c>
    </x:row>
    <x:row r="28">
      <x:c r="A28" t="str">
        <x:v>MS-SIM-0027</x:v>
      </x:c>
      <x:c r="B28" t="str">
        <x:v>2026-10-19 18:00:26</x:v>
      </x:c>
      <x:c r="C28" t="str">
        <x:v>ESP32-DEMO-01</x:v>
      </x:c>
      <x:c r="D28" t="str">
        <x:v>Microplastics</x:v>
      </x:c>
      <x:c r="E28" t="n">
        <x:v>23.9</x:v>
      </x:c>
      <x:c r="F28" t="n">
        <x:v>8.75</x:v>
      </x:c>
      <x:c r="G28" t="n">
        <x:v>917</x:v>
      </x:c>
      <x:c r="H28" t="n">
        <x:v>4.41</x:v>
      </x:c>
      <x:c r="I28" t="n">
        <x:v>3.06</x:v>
      </x:c>
      <x:c r="J28" t="n">
        <x:v>48.5</x:v>
      </x:c>
      <x:c r="K28" t="n">
        <x:v>0.3</x:v>
      </x:c>
      <x:c r="L28" t="n">
        <x:v>1</x:v>
      </x:c>
      <x:c r="M28" t="n">
        <x:v>1</x:v>
      </x:c>
      <x:c r="N28" t="str">
        <x:v>IMG-0027</x:v>
      </x:c>
      <x:c r="O28" t="str">
        <x:v>SYNTHETIC ILLUSTRATION</x:v>
      </x:c>
      <x:c r="P28" t="str">
        <x:v>NOT_VERIFIED</x:v>
      </x:c>
      <x:c r="Q28" t="str">
        <x:v>LAB-0027</x:v>
      </x:c>
      <x:c r="R28" t="str">
        <x:v>FTIR / Raman</x:v>
      </x:c>
      <x:c r="S28" t="str">
        <x:v>SIM_NEG</x:v>
      </x:c>
      <x:c r="T28" t="str">
        <x:v>NOT_VERIFIED</x:v>
      </x:c>
      <x:c r="U28" t="n">
        <x:f>MIN(100,MAX(0,(E28-25)*1.5+H28*2+J28*0.25+IF(K28&lt;0.2,15,0)))</x:f>
        <x:v>19.294999999999998</x:v>
      </x:c>
      <x:c r="V28" t="str">
        <x:f>IF(U28&gt;=60,"DEMO HIGH",IF(U28&gt;=30,"DEMO MEDIUM","DEMO LOW"))</x:f>
        <x:v>DEMO LOW</x:v>
      </x:c>
      <x:c r="W28" t="str">
        <x:f>IF(OR(L28&lt;&gt;1,M28&lt;&gt;1,I28&lt;=0),"STOP - FAIL CLOSED","DEMO: VALVE INHIBITED")</x:f>
        <x:v>DEMO: VALVE INHIBITED</x:v>
      </x:c>
      <x:c r="X28" s="8" t="str">
        <x:f>IF(AND(P28="VERIFIED",T28="VERIFIED",Z28="REAL PAIRED"),"REVIEW FOR TRAINING","DEMO ONLY")</x:f>
        <x:v>DEMO ONLY</x:v>
      </x:c>
      <x:c r="Y28" t="str">
        <x:v>1 Sample → 2 MQTT → 3 Risk → 4 Image → 5 Lab → 6 Interlock → 7 Dashboard → 8 Store → 9 Review</x:v>
      </x:c>
      <x:c r="Z28" s="6" t="str">
        <x:v>SYNTHETIC / NOT VERIFIED</x:v>
      </x:c>
    </x:row>
    <x:row r="29">
      <x:c r="A29" t="str">
        <x:v>MS-SIM-0028</x:v>
      </x:c>
      <x:c r="B29" t="str">
        <x:v>2026-10-19 18:00:27</x:v>
      </x:c>
      <x:c r="C29" t="str">
        <x:v>ESP32-DEMO-01</x:v>
      </x:c>
      <x:c r="D29" t="str">
        <x:v>Algae</x:v>
      </x:c>
      <x:c r="E29" t="n">
        <x:v>24.3</x:v>
      </x:c>
      <x:c r="F29" t="n">
        <x:v>8.74</x:v>
      </x:c>
      <x:c r="G29" t="n">
        <x:v>1397</x:v>
      </x:c>
      <x:c r="H29" t="n">
        <x:v>10.47</x:v>
      </x:c>
      <x:c r="I29" t="n">
        <x:v>1.28</x:v>
      </x:c>
      <x:c r="J29" t="n">
        <x:v>31.5</x:v>
      </x:c>
      <x:c r="K29" t="n">
        <x:v>0.69</x:v>
      </x:c>
      <x:c r="L29" t="n">
        <x:v>1</x:v>
      </x:c>
      <x:c r="M29" t="n">
        <x:v>1</x:v>
      </x:c>
      <x:c r="N29" t="str">
        <x:v>IMG-0028</x:v>
      </x:c>
      <x:c r="O29" t="str">
        <x:v>SYNTHETIC ILLUSTRATION</x:v>
      </x:c>
      <x:c r="P29" t="str">
        <x:v>NOT_VERIFIED</x:v>
      </x:c>
      <x:c r="Q29" t="str">
        <x:v>LAB-0028</x:v>
      </x:c>
      <x:c r="R29" t="str">
        <x:v>Microscopy / pigment</x:v>
      </x:c>
      <x:c r="S29" t="str">
        <x:v>SIM_POS</x:v>
      </x:c>
      <x:c r="T29" t="str">
        <x:v>NOT_VERIFIED</x:v>
      </x:c>
      <x:c r="U29" t="n">
        <x:f>MIN(100,MAX(0,(E29-25)*1.5+H29*2+J29*0.25+IF(K29&lt;0.2,15,0)))</x:f>
        <x:v>27.765</x:v>
      </x:c>
      <x:c r="V29" t="str">
        <x:f>IF(U29&gt;=60,"DEMO HIGH",IF(U29&gt;=30,"DEMO MEDIUM","DEMO LOW"))</x:f>
        <x:v>DEMO LOW</x:v>
      </x:c>
      <x:c r="W29" t="str">
        <x:f>IF(OR(L29&lt;&gt;1,M29&lt;&gt;1,I29&lt;=0),"STOP - FAIL CLOSED","DEMO: VALVE INHIBITED")</x:f>
        <x:v>DEMO: VALVE INHIBITED</x:v>
      </x:c>
      <x:c r="X29" s="8" t="str">
        <x:f>IF(AND(P29="VERIFIED",T29="VERIFIED",Z29="REAL PAIRED"),"REVIEW FOR TRAINING","DEMO ONLY")</x:f>
        <x:v>DEMO ONLY</x:v>
      </x:c>
      <x:c r="Y29" t="str">
        <x:v>1 Sample → 2 MQTT → 3 Risk → 4 Image → 5 Lab → 6 Interlock → 7 Dashboard → 8 Store → 9 Review</x:v>
      </x:c>
      <x:c r="Z29" s="6" t="str">
        <x:v>SYNTHETIC / NOT VERIFIED</x:v>
      </x:c>
    </x:row>
    <x:row r="30">
      <x:c r="A30" t="str">
        <x:v>MS-SIM-0029</x:v>
      </x:c>
      <x:c r="B30" t="str">
        <x:v>2026-10-19 18:00:28</x:v>
      </x:c>
      <x:c r="C30" t="str">
        <x:v>ESP32-DEMO-01</x:v>
      </x:c>
      <x:c r="D30" t="str">
        <x:v>Legionella</x:v>
      </x:c>
      <x:c r="E30" t="n">
        <x:v>41.4</x:v>
      </x:c>
      <x:c r="F30" t="n">
        <x:v>8.02</x:v>
      </x:c>
      <x:c r="G30" t="n">
        <x:v>575</x:v>
      </x:c>
      <x:c r="H30" t="n">
        <x:v>3.11</x:v>
      </x:c>
      <x:c r="I30" t="n">
        <x:v>0.83</x:v>
      </x:c>
      <x:c r="J30" t="n">
        <x:v>76.6</x:v>
      </x:c>
      <x:c r="K30" t="n">
        <x:v>0.66</x:v>
      </x:c>
      <x:c r="L30" t="n">
        <x:v>1</x:v>
      </x:c>
      <x:c r="M30" t="n">
        <x:v>1</x:v>
      </x:c>
      <x:c r="N30" t="str">
        <x:v>IMG-0029</x:v>
      </x:c>
      <x:c r="O30" t="str">
        <x:v>SYNTHETIC ILLUSTRATION</x:v>
      </x:c>
      <x:c r="P30" t="str">
        <x:v>NOT_VERIFIED</x:v>
      </x:c>
      <x:c r="Q30" t="str">
        <x:v>LAB-0029</x:v>
      </x:c>
      <x:c r="R30" t="str">
        <x:v>Culture / qPCR</x:v>
      </x:c>
      <x:c r="S30" t="str">
        <x:v>SIM_NEG</x:v>
      </x:c>
      <x:c r="T30" t="str">
        <x:v>NOT_VERIFIED</x:v>
      </x:c>
      <x:c r="U30" t="n">
        <x:f>MIN(100,MAX(0,(E30-25)*1.5+H30*2+J30*0.25+IF(K30&lt;0.2,15,0)))</x:f>
        <x:v>49.97</x:v>
      </x:c>
      <x:c r="V30" t="str">
        <x:f>IF(U30&gt;=60,"DEMO HIGH",IF(U30&gt;=30,"DEMO MEDIUM","DEMO LOW"))</x:f>
        <x:v>DEMO MEDIUM</x:v>
      </x:c>
      <x:c r="W30" t="str">
        <x:f>IF(OR(L30&lt;&gt;1,M30&lt;&gt;1,I30&lt;=0),"STOP - FAIL CLOSED","DEMO: VALVE INHIBITED")</x:f>
        <x:v>DEMO: VALVE INHIBITED</x:v>
      </x:c>
      <x:c r="X30" s="8" t="str">
        <x:f>IF(AND(P30="VERIFIED",T30="VERIFIED",Z30="REAL PAIRED"),"REVIEW FOR TRAINING","DEMO ONLY")</x:f>
        <x:v>DEMO ONLY</x:v>
      </x:c>
      <x:c r="Y30" t="str">
        <x:v>1 Sample → 2 MQTT → 3 Risk → 4 Image → 5 Lab → 6 Interlock → 7 Dashboard → 8 Store → 9 Review</x:v>
      </x:c>
      <x:c r="Z30" s="6" t="str">
        <x:v>SYNTHETIC / NOT VERIFIED</x:v>
      </x:c>
    </x:row>
    <x:row r="31">
      <x:c r="A31" t="str">
        <x:v>MS-SIM-0030</x:v>
      </x:c>
      <x:c r="B31" t="str">
        <x:v>2026-10-19 18:00:29</x:v>
      </x:c>
      <x:c r="C31" t="str">
        <x:v>ESP32-DEMO-01</x:v>
      </x:c>
      <x:c r="D31" t="str">
        <x:v>Viruses</x:v>
      </x:c>
      <x:c r="E31" t="n">
        <x:v>42.1</x:v>
      </x:c>
      <x:c r="F31" t="n">
        <x:v>7.57</x:v>
      </x:c>
      <x:c r="G31" t="n">
        <x:v>1286</x:v>
      </x:c>
      <x:c r="H31" t="n">
        <x:v>4.58</x:v>
      </x:c>
      <x:c r="I31" t="n">
        <x:v>2.22</x:v>
      </x:c>
      <x:c r="J31" t="n">
        <x:v>14</x:v>
      </x:c>
      <x:c r="K31" t="n">
        <x:v>0.39</x:v>
      </x:c>
      <x:c r="L31" t="n">
        <x:v>1</x:v>
      </x:c>
      <x:c r="M31" t="n">
        <x:v>1</x:v>
      </x:c>
      <x:c r="N31" t="str">
        <x:v>IMG-0030</x:v>
      </x:c>
      <x:c r="O31" t="str">
        <x:v>SYNTHETIC ILLUSTRATION</x:v>
      </x:c>
      <x:c r="P31" t="str">
        <x:v>NOT_VERIFIED</x:v>
      </x:c>
      <x:c r="Q31" t="str">
        <x:v>LAB-0030</x:v>
      </x:c>
      <x:c r="R31" t="str">
        <x:v>RT-qPCR</x:v>
      </x:c>
      <x:c r="S31" t="str">
        <x:v>SIM_NEG</x:v>
      </x:c>
      <x:c r="T31" t="str">
        <x:v>NOT_VERIFIED</x:v>
      </x:c>
      <x:c r="U31" t="n">
        <x:f>MIN(100,MAX(0,(E31-25)*1.5+H31*2+J31*0.25+IF(K31&lt;0.2,15,0)))</x:f>
        <x:v>38.31</x:v>
      </x:c>
      <x:c r="V31" t="str">
        <x:f>IF(U31&gt;=60,"DEMO HIGH",IF(U31&gt;=30,"DEMO MEDIUM","DEMO LOW"))</x:f>
        <x:v>DEMO MEDIUM</x:v>
      </x:c>
      <x:c r="W31" t="str">
        <x:f>IF(OR(L31&lt;&gt;1,M31&lt;&gt;1,I31&lt;=0),"STOP - FAIL CLOSED","DEMO: VALVE INHIBITED")</x:f>
        <x:v>DEMO: VALVE INHIBITED</x:v>
      </x:c>
      <x:c r="X31" s="8" t="str">
        <x:f>IF(AND(P31="VERIFIED",T31="VERIFIED",Z31="REAL PAIRED"),"REVIEW FOR TRAINING","DEMO ONLY")</x:f>
        <x:v>DEMO ONLY</x:v>
      </x:c>
      <x:c r="Y31" t="str">
        <x:v>1 Sample → 2 MQTT → 3 Risk → 4 Image → 5 Lab → 6 Interlock → 7 Dashboard → 8 Store → 9 Review</x:v>
      </x:c>
      <x:c r="Z31" s="6" t="str">
        <x:v>SYNTHETIC / NOT VERIFIED</x:v>
      </x:c>
    </x:row>
    <x:row r="32">
      <x:c r="A32" t="str">
        <x:v>MS-SIM-0031</x:v>
      </x:c>
      <x:c r="B32" t="str">
        <x:v>2026-10-19 18:00:30</x:v>
      </x:c>
      <x:c r="C32" t="str">
        <x:v>ESP32-DEMO-01</x:v>
      </x:c>
      <x:c r="D32" t="str">
        <x:v>Microplastics</x:v>
      </x:c>
      <x:c r="E32" t="n">
        <x:v>22.6</x:v>
      </x:c>
      <x:c r="F32" t="n">
        <x:v>8.58</x:v>
      </x:c>
      <x:c r="G32" t="n">
        <x:v>928</x:v>
      </x:c>
      <x:c r="H32" t="n">
        <x:v>8.67</x:v>
      </x:c>
      <x:c r="I32" t="n">
        <x:v>2.78</x:v>
      </x:c>
      <x:c r="J32" t="n">
        <x:v>26.5</x:v>
      </x:c>
      <x:c r="K32" t="n">
        <x:v>0.26</x:v>
      </x:c>
      <x:c r="L32" t="n">
        <x:v>1</x:v>
      </x:c>
      <x:c r="M32" t="n">
        <x:v>1</x:v>
      </x:c>
      <x:c r="N32" t="str">
        <x:v>IMG-0031</x:v>
      </x:c>
      <x:c r="O32" t="str">
        <x:v>SYNTHETIC ILLUSTRATION</x:v>
      </x:c>
      <x:c r="P32" t="str">
        <x:v>NOT_VERIFIED</x:v>
      </x:c>
      <x:c r="Q32" t="str">
        <x:v>LAB-0031</x:v>
      </x:c>
      <x:c r="R32" t="str">
        <x:v>FTIR / Raman</x:v>
      </x:c>
      <x:c r="S32" t="str">
        <x:v>SIM_POS</x:v>
      </x:c>
      <x:c r="T32" t="str">
        <x:v>NOT_VERIFIED</x:v>
      </x:c>
      <x:c r="U32" t="n">
        <x:f>MIN(100,MAX(0,(E32-25)*1.5+H32*2+J32*0.25+IF(K32&lt;0.2,15,0)))</x:f>
        <x:v>20.365000000000002</x:v>
      </x:c>
      <x:c r="V32" t="str">
        <x:f>IF(U32&gt;=60,"DEMO HIGH",IF(U32&gt;=30,"DEMO MEDIUM","DEMO LOW"))</x:f>
        <x:v>DEMO LOW</x:v>
      </x:c>
      <x:c r="W32" t="str">
        <x:f>IF(OR(L32&lt;&gt;1,M32&lt;&gt;1,I32&lt;=0),"STOP - FAIL CLOSED","DEMO: VALVE INHIBITED")</x:f>
        <x:v>DEMO: VALVE INHIBITED</x:v>
      </x:c>
      <x:c r="X32" s="8" t="str">
        <x:f>IF(AND(P32="VERIFIED",T32="VERIFIED",Z32="REAL PAIRED"),"REVIEW FOR TRAINING","DEMO ONLY")</x:f>
        <x:v>DEMO ONLY</x:v>
      </x:c>
      <x:c r="Y32" t="str">
        <x:v>1 Sample → 2 MQTT → 3 Risk → 4 Image → 5 Lab → 6 Interlock → 7 Dashboard → 8 Store → 9 Review</x:v>
      </x:c>
      <x:c r="Z32" s="6" t="str">
        <x:v>SYNTHETIC / NOT VERIFIED</x:v>
      </x:c>
    </x:row>
    <x:row r="33">
      <x:c r="A33" t="str">
        <x:v>MS-SIM-0032</x:v>
      </x:c>
      <x:c r="B33" t="str">
        <x:v>2026-10-19 18:00:31</x:v>
      </x:c>
      <x:c r="C33" t="str">
        <x:v>ESP32-DEMO-01</x:v>
      </x:c>
      <x:c r="D33" t="str">
        <x:v>Algae</x:v>
      </x:c>
      <x:c r="E33" t="n">
        <x:v>41.6</x:v>
      </x:c>
      <x:c r="F33" t="n">
        <x:v>7.52</x:v>
      </x:c>
      <x:c r="G33" t="n">
        <x:v>897</x:v>
      </x:c>
      <x:c r="H33" t="n">
        <x:v>13.38</x:v>
      </x:c>
      <x:c r="I33" t="n">
        <x:v>1.71</x:v>
      </x:c>
      <x:c r="J33" t="n">
        <x:v>46.2</x:v>
      </x:c>
      <x:c r="K33" t="n">
        <x:v>0.26</x:v>
      </x:c>
      <x:c r="L33" t="n">
        <x:v>1</x:v>
      </x:c>
      <x:c r="M33" t="n">
        <x:v>1</x:v>
      </x:c>
      <x:c r="N33" t="str">
        <x:v>IMG-0032</x:v>
      </x:c>
      <x:c r="O33" t="str">
        <x:v>SYNTHETIC ILLUSTRATION</x:v>
      </x:c>
      <x:c r="P33" t="str">
        <x:v>NOT_VERIFIED</x:v>
      </x:c>
      <x:c r="Q33" t="str">
        <x:v>LAB-0032</x:v>
      </x:c>
      <x:c r="R33" t="str">
        <x:v>Microscopy / pigment</x:v>
      </x:c>
      <x:c r="S33" t="str">
        <x:v>SIM_NEG</x:v>
      </x:c>
      <x:c r="T33" t="str">
        <x:v>NOT_VERIFIED</x:v>
      </x:c>
      <x:c r="U33" t="n">
        <x:f>MIN(100,MAX(0,(E33-25)*1.5+H33*2+J33*0.25+IF(K33&lt;0.2,15,0)))</x:f>
        <x:v>63.21000000000001</x:v>
      </x:c>
      <x:c r="V33" t="str">
        <x:f>IF(U33&gt;=60,"DEMO HIGH",IF(U33&gt;=30,"DEMO MEDIUM","DEMO LOW"))</x:f>
        <x:v>DEMO HIGH</x:v>
      </x:c>
      <x:c r="W33" t="str">
        <x:f>IF(OR(L33&lt;&gt;1,M33&lt;&gt;1,I33&lt;=0),"STOP - FAIL CLOSED","DEMO: VALVE INHIBITED")</x:f>
        <x:v>DEMO: VALVE INHIBITED</x:v>
      </x:c>
      <x:c r="X33" s="8" t="str">
        <x:f>IF(AND(P33="VERIFIED",T33="VERIFIED",Z33="REAL PAIRED"),"REVIEW FOR TRAINING","DEMO ONLY")</x:f>
        <x:v>DEMO ONLY</x:v>
      </x:c>
      <x:c r="Y33" t="str">
        <x:v>1 Sample → 2 MQTT → 3 Risk → 4 Image → 5 Lab → 6 Interlock → 7 Dashboard → 8 Store → 9 Review</x:v>
      </x:c>
      <x:c r="Z33" s="6" t="str">
        <x:v>SYNTHETIC / NOT VERIFIED</x:v>
      </x:c>
    </x:row>
    <x:row r="34">
      <x:c r="A34" t="str">
        <x:v>MS-SIM-0033</x:v>
      </x:c>
      <x:c r="B34" t="str">
        <x:v>2026-10-19 18:00:32</x:v>
      </x:c>
      <x:c r="C34" t="str">
        <x:v>ESP32-DEMO-01</x:v>
      </x:c>
      <x:c r="D34" t="str">
        <x:v>Legionella</x:v>
      </x:c>
      <x:c r="E34" t="n">
        <x:v>22.5</x:v>
      </x:c>
      <x:c r="F34" t="n">
        <x:v>7.96</x:v>
      </x:c>
      <x:c r="G34" t="n">
        <x:v>1423</x:v>
      </x:c>
      <x:c r="H34" t="n">
        <x:v>12.01</x:v>
      </x:c>
      <x:c r="I34" t="n">
        <x:v>2.94</x:v>
      </x:c>
      <x:c r="J34" t="n">
        <x:v>53</x:v>
      </x:c>
      <x:c r="K34" t="n">
        <x:v>0.48</x:v>
      </x:c>
      <x:c r="L34" t="n">
        <x:v>1</x:v>
      </x:c>
      <x:c r="M34" t="n">
        <x:v>1</x:v>
      </x:c>
      <x:c r="N34" t="str">
        <x:v>IMG-0033</x:v>
      </x:c>
      <x:c r="O34" t="str">
        <x:v>SYNTHETIC ILLUSTRATION</x:v>
      </x:c>
      <x:c r="P34" t="str">
        <x:v>NOT_VERIFIED</x:v>
      </x:c>
      <x:c r="Q34" t="str">
        <x:v>LAB-0033</x:v>
      </x:c>
      <x:c r="R34" t="str">
        <x:v>Culture / qPCR</x:v>
      </x:c>
      <x:c r="S34" t="str">
        <x:v>SIM_NEG</x:v>
      </x:c>
      <x:c r="T34" t="str">
        <x:v>NOT_VERIFIED</x:v>
      </x:c>
      <x:c r="U34" t="n">
        <x:f>MIN(100,MAX(0,(E34-25)*1.5+H34*2+J34*0.25+IF(K34&lt;0.2,15,0)))</x:f>
        <x:v>33.519999999999996</x:v>
      </x:c>
      <x:c r="V34" t="str">
        <x:f>IF(U34&gt;=60,"DEMO HIGH",IF(U34&gt;=30,"DEMO MEDIUM","DEMO LOW"))</x:f>
        <x:v>DEMO MEDIUM</x:v>
      </x:c>
      <x:c r="W34" t="str">
        <x:f>IF(OR(L34&lt;&gt;1,M34&lt;&gt;1,I34&lt;=0),"STOP - FAIL CLOSED","DEMO: VALVE INHIBITED")</x:f>
        <x:v>DEMO: VALVE INHIBITED</x:v>
      </x:c>
      <x:c r="X34" s="8" t="str">
        <x:f>IF(AND(P34="VERIFIED",T34="VERIFIED",Z34="REAL PAIRED"),"REVIEW FOR TRAINING","DEMO ONLY")</x:f>
        <x:v>DEMO ONLY</x:v>
      </x:c>
      <x:c r="Y34" t="str">
        <x:v>1 Sample → 2 MQTT → 3 Risk → 4 Image → 5 Lab → 6 Interlock → 7 Dashboard → 8 Store → 9 Review</x:v>
      </x:c>
      <x:c r="Z34" s="6" t="str">
        <x:v>SYNTHETIC / NOT VERIFIED</x:v>
      </x:c>
    </x:row>
    <x:row r="35">
      <x:c r="A35" t="str">
        <x:v>MS-SIM-0034</x:v>
      </x:c>
      <x:c r="B35" t="str">
        <x:v>2026-10-19 18:00:33</x:v>
      </x:c>
      <x:c r="C35" t="str">
        <x:v>ESP32-DEMO-01</x:v>
      </x:c>
      <x:c r="D35" t="str">
        <x:v>Viruses</x:v>
      </x:c>
      <x:c r="E35" t="n">
        <x:v>35.1</x:v>
      </x:c>
      <x:c r="F35" t="n">
        <x:v>7.61</x:v>
      </x:c>
      <x:c r="G35" t="n">
        <x:v>982</x:v>
      </x:c>
      <x:c r="H35" t="n">
        <x:v>9.62</x:v>
      </x:c>
      <x:c r="I35" t="n">
        <x:v>1.33</x:v>
      </x:c>
      <x:c r="J35" t="n">
        <x:v>3.9</x:v>
      </x:c>
      <x:c r="K35" t="n">
        <x:v>0.5</x:v>
      </x:c>
      <x:c r="L35" t="n">
        <x:v>1</x:v>
      </x:c>
      <x:c r="M35" t="n">
        <x:v>1</x:v>
      </x:c>
      <x:c r="N35" t="str">
        <x:v>IMG-0034</x:v>
      </x:c>
      <x:c r="O35" t="str">
        <x:v>SYNTHETIC ILLUSTRATION</x:v>
      </x:c>
      <x:c r="P35" t="str">
        <x:v>NOT_VERIFIED</x:v>
      </x:c>
      <x:c r="Q35" t="str">
        <x:v>LAB-0034</x:v>
      </x:c>
      <x:c r="R35" t="str">
        <x:v>RT-qPCR</x:v>
      </x:c>
      <x:c r="S35" t="str">
        <x:v>SIM_POS</x:v>
      </x:c>
      <x:c r="T35" t="str">
        <x:v>NOT_VERIFIED</x:v>
      </x:c>
      <x:c r="U35" t="n">
        <x:f>MIN(100,MAX(0,(E35-25)*1.5+H35*2+J35*0.25+IF(K35&lt;0.2,15,0)))</x:f>
        <x:v>35.365</x:v>
      </x:c>
      <x:c r="V35" t="str">
        <x:f>IF(U35&gt;=60,"DEMO HIGH",IF(U35&gt;=30,"DEMO MEDIUM","DEMO LOW"))</x:f>
        <x:v>DEMO MEDIUM</x:v>
      </x:c>
      <x:c r="W35" t="str">
        <x:f>IF(OR(L35&lt;&gt;1,M35&lt;&gt;1,I35&lt;=0),"STOP - FAIL CLOSED","DEMO: VALVE INHIBITED")</x:f>
        <x:v>DEMO: VALVE INHIBITED</x:v>
      </x:c>
      <x:c r="X35" s="8" t="str">
        <x:f>IF(AND(P35="VERIFIED",T35="VERIFIED",Z35="REAL PAIRED"),"REVIEW FOR TRAINING","DEMO ONLY")</x:f>
        <x:v>DEMO ONLY</x:v>
      </x:c>
      <x:c r="Y35" t="str">
        <x:v>1 Sample → 2 MQTT → 3 Risk → 4 Image → 5 Lab → 6 Interlock → 7 Dashboard → 8 Store → 9 Review</x:v>
      </x:c>
      <x:c r="Z35" s="6" t="str">
        <x:v>SYNTHETIC / NOT VERIFIED</x:v>
      </x:c>
    </x:row>
    <x:row r="36">
      <x:c r="A36" t="str">
        <x:v>MS-SIM-0035</x:v>
      </x:c>
      <x:c r="B36" t="str">
        <x:v>2026-10-19 18:00:34</x:v>
      </x:c>
      <x:c r="C36" t="str">
        <x:v>ESP32-DEMO-01</x:v>
      </x:c>
      <x:c r="D36" t="str">
        <x:v>Microplastics</x:v>
      </x:c>
      <x:c r="E36" t="n">
        <x:v>25.8</x:v>
      </x:c>
      <x:c r="F36" t="n">
        <x:v>6.69</x:v>
      </x:c>
      <x:c r="G36" t="n">
        <x:v>775</x:v>
      </x:c>
      <x:c r="H36" t="n">
        <x:v>3.3</x:v>
      </x:c>
      <x:c r="I36" t="n">
        <x:v>0.73</x:v>
      </x:c>
      <x:c r="J36" t="n">
        <x:v>53.8</x:v>
      </x:c>
      <x:c r="K36" t="n">
        <x:v>0.02</x:v>
      </x:c>
      <x:c r="L36" t="n">
        <x:v>1</x:v>
      </x:c>
      <x:c r="M36" t="n">
        <x:v>1</x:v>
      </x:c>
      <x:c r="N36" t="str">
        <x:v>IMG-0035</x:v>
      </x:c>
      <x:c r="O36" t="str">
        <x:v>SYNTHETIC ILLUSTRATION</x:v>
      </x:c>
      <x:c r="P36" t="str">
        <x:v>NOT_VERIFIED</x:v>
      </x:c>
      <x:c r="Q36" t="str">
        <x:v>LAB-0035</x:v>
      </x:c>
      <x:c r="R36" t="str">
        <x:v>FTIR / Raman</x:v>
      </x:c>
      <x:c r="S36" t="str">
        <x:v>SIM_NEG</x:v>
      </x:c>
      <x:c r="T36" t="str">
        <x:v>NOT_VERIFIED</x:v>
      </x:c>
      <x:c r="U36" t="n">
        <x:f>MIN(100,MAX(0,(E36-25)*1.5+H36*2+J36*0.25+IF(K36&lt;0.2,15,0)))</x:f>
        <x:v>36.25</x:v>
      </x:c>
      <x:c r="V36" t="str">
        <x:f>IF(U36&gt;=60,"DEMO HIGH",IF(U36&gt;=30,"DEMO MEDIUM","DEMO LOW"))</x:f>
        <x:v>DEMO MEDIUM</x:v>
      </x:c>
      <x:c r="W36" t="str">
        <x:f>IF(OR(L36&lt;&gt;1,M36&lt;&gt;1,I36&lt;=0),"STOP - FAIL CLOSED","DEMO: VALVE INHIBITED")</x:f>
        <x:v>DEMO: VALVE INHIBITED</x:v>
      </x:c>
      <x:c r="X36" s="8" t="str">
        <x:f>IF(AND(P36="VERIFIED",T36="VERIFIED",Z36="REAL PAIRED"),"REVIEW FOR TRAINING","DEMO ONLY")</x:f>
        <x:v>DEMO ONLY</x:v>
      </x:c>
      <x:c r="Y36" t="str">
        <x:v>1 Sample → 2 MQTT → 3 Risk → 4 Image → 5 Lab → 6 Interlock → 7 Dashboard → 8 Store → 9 Review</x:v>
      </x:c>
      <x:c r="Z36" s="6" t="str">
        <x:v>SYNTHETIC / NOT VERIFIED</x:v>
      </x:c>
    </x:row>
    <x:row r="37">
      <x:c r="A37" t="str">
        <x:v>MS-SIM-0036</x:v>
      </x:c>
      <x:c r="B37" t="str">
        <x:v>2026-10-19 18:00:35</x:v>
      </x:c>
      <x:c r="C37" t="str">
        <x:v>ESP32-DEMO-01</x:v>
      </x:c>
      <x:c r="D37" t="str">
        <x:v>Algae</x:v>
      </x:c>
      <x:c r="E37" t="n">
        <x:v>24.9</x:v>
      </x:c>
      <x:c r="F37" t="n">
        <x:v>6.67</x:v>
      </x:c>
      <x:c r="G37" t="n">
        <x:v>745</x:v>
      </x:c>
      <x:c r="H37" t="n">
        <x:v>5.5</x:v>
      </x:c>
      <x:c r="I37" t="n">
        <x:v>2.43</x:v>
      </x:c>
      <x:c r="J37" t="n">
        <x:v>56.7</x:v>
      </x:c>
      <x:c r="K37" t="n">
        <x:v>0.59</x:v>
      </x:c>
      <x:c r="L37" t="n">
        <x:v>1</x:v>
      </x:c>
      <x:c r="M37" t="n">
        <x:v>1</x:v>
      </x:c>
      <x:c r="N37" t="str">
        <x:v>IMG-0036</x:v>
      </x:c>
      <x:c r="O37" t="str">
        <x:v>SYNTHETIC ILLUSTRATION</x:v>
      </x:c>
      <x:c r="P37" t="str">
        <x:v>NOT_VERIFIED</x:v>
      </x:c>
      <x:c r="Q37" t="str">
        <x:v>LAB-0036</x:v>
      </x:c>
      <x:c r="R37" t="str">
        <x:v>Microscopy / pigment</x:v>
      </x:c>
      <x:c r="S37" t="str">
        <x:v>SIM_NEG</x:v>
      </x:c>
      <x:c r="T37" t="str">
        <x:v>NOT_VERIFIED</x:v>
      </x:c>
      <x:c r="U37" t="n">
        <x:f>MIN(100,MAX(0,(E37-25)*1.5+H37*2+J37*0.25+IF(K37&lt;0.2,15,0)))</x:f>
        <x:v>25.025</x:v>
      </x:c>
      <x:c r="V37" t="str">
        <x:f>IF(U37&gt;=60,"DEMO HIGH",IF(U37&gt;=30,"DEMO MEDIUM","DEMO LOW"))</x:f>
        <x:v>DEMO LOW</x:v>
      </x:c>
      <x:c r="W37" t="str">
        <x:f>IF(OR(L37&lt;&gt;1,M37&lt;&gt;1,I37&lt;=0),"STOP - FAIL CLOSED","DEMO: VALVE INHIBITED")</x:f>
        <x:v>DEMO: VALVE INHIBITED</x:v>
      </x:c>
      <x:c r="X37" s="8" t="str">
        <x:f>IF(AND(P37="VERIFIED",T37="VERIFIED",Z37="REAL PAIRED"),"REVIEW FOR TRAINING","DEMO ONLY")</x:f>
        <x:v>DEMO ONLY</x:v>
      </x:c>
      <x:c r="Y37" t="str">
        <x:v>1 Sample → 2 MQTT → 3 Risk → 4 Image → 5 Lab → 6 Interlock → 7 Dashboard → 8 Store → 9 Review</x:v>
      </x:c>
      <x:c r="Z37" s="6" t="str">
        <x:v>SYNTHETIC / NOT VERIFIED</x:v>
      </x:c>
    </x:row>
    <x:row r="38">
      <x:c r="A38" t="str">
        <x:v>MS-SIM-0037</x:v>
      </x:c>
      <x:c r="B38" t="str">
        <x:v>2026-10-19 18:00:36</x:v>
      </x:c>
      <x:c r="C38" t="str">
        <x:v>ESP32-DEMO-01</x:v>
      </x:c>
      <x:c r="D38" t="str">
        <x:v>Legionella</x:v>
      </x:c>
      <x:c r="E38" t="n">
        <x:v>32.7</x:v>
      </x:c>
      <x:c r="F38" t="n">
        <x:v>6.75</x:v>
      </x:c>
      <x:c r="G38" t="n">
        <x:v>1305</x:v>
      </x:c>
      <x:c r="H38" t="n">
        <x:v>5.88</x:v>
      </x:c>
      <x:c r="I38" t="n">
        <x:v>2.87</x:v>
      </x:c>
      <x:c r="J38" t="n">
        <x:v>9.4</x:v>
      </x:c>
      <x:c r="K38" t="n">
        <x:v>0.5</x:v>
      </x:c>
      <x:c r="L38" t="n">
        <x:v>1</x:v>
      </x:c>
      <x:c r="M38" t="n">
        <x:v>1</x:v>
      </x:c>
      <x:c r="N38" t="str">
        <x:v>IMG-0037</x:v>
      </x:c>
      <x:c r="O38" t="str">
        <x:v>SYNTHETIC ILLUSTRATION</x:v>
      </x:c>
      <x:c r="P38" t="str">
        <x:v>NOT_VERIFIED</x:v>
      </x:c>
      <x:c r="Q38" t="str">
        <x:v>LAB-0037</x:v>
      </x:c>
      <x:c r="R38" t="str">
        <x:v>Culture / qPCR</x:v>
      </x:c>
      <x:c r="S38" t="str">
        <x:v>SIM_POS</x:v>
      </x:c>
      <x:c r="T38" t="str">
        <x:v>NOT_VERIFIED</x:v>
      </x:c>
      <x:c r="U38" t="n">
        <x:f>MIN(100,MAX(0,(E38-25)*1.5+H38*2+J38*0.25+IF(K38&lt;0.2,15,0)))</x:f>
        <x:v>25.660000000000004</x:v>
      </x:c>
      <x:c r="V38" t="str">
        <x:f>IF(U38&gt;=60,"DEMO HIGH",IF(U38&gt;=30,"DEMO MEDIUM","DEMO LOW"))</x:f>
        <x:v>DEMO LOW</x:v>
      </x:c>
      <x:c r="W38" t="str">
        <x:f>IF(OR(L38&lt;&gt;1,M38&lt;&gt;1,I38&lt;=0),"STOP - FAIL CLOSED","DEMO: VALVE INHIBITED")</x:f>
        <x:v>DEMO: VALVE INHIBITED</x:v>
      </x:c>
      <x:c r="X38" s="8" t="str">
        <x:f>IF(AND(P38="VERIFIED",T38="VERIFIED",Z38="REAL PAIRED"),"REVIEW FOR TRAINING","DEMO ONLY")</x:f>
        <x:v>DEMO ONLY</x:v>
      </x:c>
      <x:c r="Y38" t="str">
        <x:v>1 Sample → 2 MQTT → 3 Risk → 4 Image → 5 Lab → 6 Interlock → 7 Dashboard → 8 Store → 9 Review</x:v>
      </x:c>
      <x:c r="Z38" s="6" t="str">
        <x:v>SYNTHETIC / NOT VERIFIED</x:v>
      </x:c>
    </x:row>
    <x:row r="39">
      <x:c r="A39" t="str">
        <x:v>MS-SIM-0038</x:v>
      </x:c>
      <x:c r="B39" t="str">
        <x:v>2026-10-19 18:00:37</x:v>
      </x:c>
      <x:c r="C39" t="str">
        <x:v>ESP32-DEMO-01</x:v>
      </x:c>
      <x:c r="D39" t="str">
        <x:v>Viruses</x:v>
      </x:c>
      <x:c r="E39" t="n">
        <x:v>41</x:v>
      </x:c>
      <x:c r="F39" t="n">
        <x:v>7.7</x:v>
      </x:c>
      <x:c r="G39" t="n">
        <x:v>815</x:v>
      </x:c>
      <x:c r="H39" t="n">
        <x:v>11.64</x:v>
      </x:c>
      <x:c r="I39" t="n">
        <x:v>1.39</x:v>
      </x:c>
      <x:c r="J39" t="n">
        <x:v>45.5</x:v>
      </x:c>
      <x:c r="K39" t="n">
        <x:v>0.36</x:v>
      </x:c>
      <x:c r="L39" t="n">
        <x:v>1</x:v>
      </x:c>
      <x:c r="M39" t="n">
        <x:v>1</x:v>
      </x:c>
      <x:c r="N39" t="str">
        <x:v>IMG-0038</x:v>
      </x:c>
      <x:c r="O39" t="str">
        <x:v>SYNTHETIC ILLUSTRATION</x:v>
      </x:c>
      <x:c r="P39" t="str">
        <x:v>NOT_VERIFIED</x:v>
      </x:c>
      <x:c r="Q39" t="str">
        <x:v>LAB-0038</x:v>
      </x:c>
      <x:c r="R39" t="str">
        <x:v>RT-qPCR</x:v>
      </x:c>
      <x:c r="S39" t="str">
        <x:v>SIM_NEG</x:v>
      </x:c>
      <x:c r="T39" t="str">
        <x:v>NOT_VERIFIED</x:v>
      </x:c>
      <x:c r="U39" t="n">
        <x:f>MIN(100,MAX(0,(E39-25)*1.5+H39*2+J39*0.25+IF(K39&lt;0.2,15,0)))</x:f>
        <x:v>58.655</x:v>
      </x:c>
      <x:c r="V39" t="str">
        <x:f>IF(U39&gt;=60,"DEMO HIGH",IF(U39&gt;=30,"DEMO MEDIUM","DEMO LOW"))</x:f>
        <x:v>DEMO MEDIUM</x:v>
      </x:c>
      <x:c r="W39" t="str">
        <x:f>IF(OR(L39&lt;&gt;1,M39&lt;&gt;1,I39&lt;=0),"STOP - FAIL CLOSED","DEMO: VALVE INHIBITED")</x:f>
        <x:v>DEMO: VALVE INHIBITED</x:v>
      </x:c>
      <x:c r="X39" s="8" t="str">
        <x:f>IF(AND(P39="VERIFIED",T39="VERIFIED",Z39="REAL PAIRED"),"REVIEW FOR TRAINING","DEMO ONLY")</x:f>
        <x:v>DEMO ONLY</x:v>
      </x:c>
      <x:c r="Y39" t="str">
        <x:v>1 Sample → 2 MQTT → 3 Risk → 4 Image → 5 Lab → 6 Interlock → 7 Dashboard → 8 Store → 9 Review</x:v>
      </x:c>
      <x:c r="Z39" s="6" t="str">
        <x:v>SYNTHETIC / NOT VERIFIED</x:v>
      </x:c>
    </x:row>
    <x:row r="40">
      <x:c r="A40" t="str">
        <x:v>MS-SIM-0039</x:v>
      </x:c>
      <x:c r="B40" t="str">
        <x:v>2026-10-19 18:00:38</x:v>
      </x:c>
      <x:c r="C40" t="str">
        <x:v>ESP32-DEMO-01</x:v>
      </x:c>
      <x:c r="D40" t="str">
        <x:v>Microplastics</x:v>
      </x:c>
      <x:c r="E40" t="n">
        <x:v>41.2</x:v>
      </x:c>
      <x:c r="F40" t="n">
        <x:v>7.26</x:v>
      </x:c>
      <x:c r="G40" t="n">
        <x:v>1387</x:v>
      </x:c>
      <x:c r="H40" t="n">
        <x:v>2.03</x:v>
      </x:c>
      <x:c r="I40" t="n">
        <x:v>2.34</x:v>
      </x:c>
      <x:c r="J40" t="n">
        <x:v>43.9</x:v>
      </x:c>
      <x:c r="K40" t="n">
        <x:v>0.53</x:v>
      </x:c>
      <x:c r="L40" t="n">
        <x:v>1</x:v>
      </x:c>
      <x:c r="M40" t="n">
        <x:v>1</x:v>
      </x:c>
      <x:c r="N40" t="str">
        <x:v>IMG-0039</x:v>
      </x:c>
      <x:c r="O40" t="str">
        <x:v>SYNTHETIC ILLUSTRATION</x:v>
      </x:c>
      <x:c r="P40" t="str">
        <x:v>NOT_VERIFIED</x:v>
      </x:c>
      <x:c r="Q40" t="str">
        <x:v>LAB-0039</x:v>
      </x:c>
      <x:c r="R40" t="str">
        <x:v>FTIR / Raman</x:v>
      </x:c>
      <x:c r="S40" t="str">
        <x:v>SIM_NEG</x:v>
      </x:c>
      <x:c r="T40" t="str">
        <x:v>NOT_VERIFIED</x:v>
      </x:c>
      <x:c r="U40" t="n">
        <x:f>MIN(100,MAX(0,(E40-25)*1.5+H40*2+J40*0.25+IF(K40&lt;0.2,15,0)))</x:f>
        <x:v>39.335</x:v>
      </x:c>
      <x:c r="V40" t="str">
        <x:f>IF(U40&gt;=60,"DEMO HIGH",IF(U40&gt;=30,"DEMO MEDIUM","DEMO LOW"))</x:f>
        <x:v>DEMO MEDIUM</x:v>
      </x:c>
      <x:c r="W40" t="str">
        <x:f>IF(OR(L40&lt;&gt;1,M40&lt;&gt;1,I40&lt;=0),"STOP - FAIL CLOSED","DEMO: VALVE INHIBITED")</x:f>
        <x:v>DEMO: VALVE INHIBITED</x:v>
      </x:c>
      <x:c r="X40" s="8" t="str">
        <x:f>IF(AND(P40="VERIFIED",T40="VERIFIED",Z40="REAL PAIRED"),"REVIEW FOR TRAINING","DEMO ONLY")</x:f>
        <x:v>DEMO ONLY</x:v>
      </x:c>
      <x:c r="Y40" t="str">
        <x:v>1 Sample → 2 MQTT → 3 Risk → 4 Image → 5 Lab → 6 Interlock → 7 Dashboard → 8 Store → 9 Review</x:v>
      </x:c>
      <x:c r="Z40" s="6" t="str">
        <x:v>SYNTHETIC / NOT VERIFIED</x:v>
      </x:c>
    </x:row>
    <x:row r="41">
      <x:c r="A41" t="str">
        <x:v>MS-SIM-0040</x:v>
      </x:c>
      <x:c r="B41" t="str">
        <x:v>2026-10-19 18:00:39</x:v>
      </x:c>
      <x:c r="C41" t="str">
        <x:v>ESP32-DEMO-01</x:v>
      </x:c>
      <x:c r="D41" t="str">
        <x:v>Algae</x:v>
      </x:c>
      <x:c r="E41" t="n">
        <x:v>24.2</x:v>
      </x:c>
      <x:c r="F41" t="n">
        <x:v>7.67</x:v>
      </x:c>
      <x:c r="G41" t="n">
        <x:v>1564</x:v>
      </x:c>
      <x:c r="H41" t="n">
        <x:v>5.13</x:v>
      </x:c>
      <x:c r="I41" t="n">
        <x:v>0.29</x:v>
      </x:c>
      <x:c r="J41" t="n">
        <x:v>56.2</x:v>
      </x:c>
      <x:c r="K41" t="n">
        <x:v>0.08</x:v>
      </x:c>
      <x:c r="L41" t="n">
        <x:v>1</x:v>
      </x:c>
      <x:c r="M41" t="n">
        <x:v>1</x:v>
      </x:c>
      <x:c r="N41" t="str">
        <x:v>IMG-0040</x:v>
      </x:c>
      <x:c r="O41" t="str">
        <x:v>SYNTHETIC ILLUSTRATION</x:v>
      </x:c>
      <x:c r="P41" t="str">
        <x:v>NOT_VERIFIED</x:v>
      </x:c>
      <x:c r="Q41" t="str">
        <x:v>LAB-0040</x:v>
      </x:c>
      <x:c r="R41" t="str">
        <x:v>Microscopy / pigment</x:v>
      </x:c>
      <x:c r="S41" t="str">
        <x:v>SIM_POS</x:v>
      </x:c>
      <x:c r="T41" t="str">
        <x:v>NOT_VERIFIED</x:v>
      </x:c>
      <x:c r="U41" t="n">
        <x:f>MIN(100,MAX(0,(E41-25)*1.5+H41*2+J41*0.25+IF(K41&lt;0.2,15,0)))</x:f>
        <x:v>38.11</x:v>
      </x:c>
      <x:c r="V41" t="str">
        <x:f>IF(U41&gt;=60,"DEMO HIGH",IF(U41&gt;=30,"DEMO MEDIUM","DEMO LOW"))</x:f>
        <x:v>DEMO MEDIUM</x:v>
      </x:c>
      <x:c r="W41" t="str">
        <x:f>IF(OR(L41&lt;&gt;1,M41&lt;&gt;1,I41&lt;=0),"STOP - FAIL CLOSED","DEMO: VALVE INHIBITED")</x:f>
        <x:v>DEMO: VALVE INHIBITED</x:v>
      </x:c>
      <x:c r="X41" s="8" t="str">
        <x:f>IF(AND(P41="VERIFIED",T41="VERIFIED",Z41="REAL PAIRED"),"REVIEW FOR TRAINING","DEMO ONLY")</x:f>
        <x:v>DEMO ONLY</x:v>
      </x:c>
      <x:c r="Y41" t="str">
        <x:v>1 Sample → 2 MQTT → 3 Risk → 4 Image → 5 Lab → 6 Interlock → 7 Dashboard → 8 Store → 9 Review</x:v>
      </x:c>
      <x:c r="Z41" s="6" t="str">
        <x:v>SYNTHETIC / NOT VERIFIED</x:v>
      </x:c>
    </x:row>
    <x:row r="42">
      <x:c r="A42" t="str">
        <x:v>MS-SIM-0041</x:v>
      </x:c>
      <x:c r="B42" t="str">
        <x:v>2026-10-19 18:00:40</x:v>
      </x:c>
      <x:c r="C42" t="str">
        <x:v>ESP32-DEMO-01</x:v>
      </x:c>
      <x:c r="D42" t="str">
        <x:v>Legionella</x:v>
      </x:c>
      <x:c r="E42" t="n">
        <x:v>26.7</x:v>
      </x:c>
      <x:c r="F42" t="n">
        <x:v>8.05</x:v>
      </x:c>
      <x:c r="G42" t="n">
        <x:v>911</x:v>
      </x:c>
      <x:c r="H42" t="n">
        <x:v>10.04</x:v>
      </x:c>
      <x:c r="I42" t="n">
        <x:v>2.49</x:v>
      </x:c>
      <x:c r="J42" t="n">
        <x:v>27.6</x:v>
      </x:c>
      <x:c r="K42" t="n">
        <x:v>0.49</x:v>
      </x:c>
      <x:c r="L42" t="n">
        <x:v>1</x:v>
      </x:c>
      <x:c r="M42" t="n">
        <x:v>1</x:v>
      </x:c>
      <x:c r="N42" t="str">
        <x:v>IMG-0041</x:v>
      </x:c>
      <x:c r="O42" t="str">
        <x:v>SYNTHETIC ILLUSTRATION</x:v>
      </x:c>
      <x:c r="P42" t="str">
        <x:v>NOT_VERIFIED</x:v>
      </x:c>
      <x:c r="Q42" t="str">
        <x:v>LAB-0041</x:v>
      </x:c>
      <x:c r="R42" t="str">
        <x:v>Culture / qPCR</x:v>
      </x:c>
      <x:c r="S42" t="str">
        <x:v>SIM_NEG</x:v>
      </x:c>
      <x:c r="T42" t="str">
        <x:v>NOT_VERIFIED</x:v>
      </x:c>
      <x:c r="U42" t="n">
        <x:f>MIN(100,MAX(0,(E42-25)*1.5+H42*2+J42*0.25+IF(K42&lt;0.2,15,0)))</x:f>
        <x:v>29.529999999999994</x:v>
      </x:c>
      <x:c r="V42" t="str">
        <x:f>IF(U42&gt;=60,"DEMO HIGH",IF(U42&gt;=30,"DEMO MEDIUM","DEMO LOW"))</x:f>
        <x:v>DEMO LOW</x:v>
      </x:c>
      <x:c r="W42" t="str">
        <x:f>IF(OR(L42&lt;&gt;1,M42&lt;&gt;1,I42&lt;=0),"STOP - FAIL CLOSED","DEMO: VALVE INHIBITED")</x:f>
        <x:v>DEMO: VALVE INHIBITED</x:v>
      </x:c>
      <x:c r="X42" s="8" t="str">
        <x:f>IF(AND(P42="VERIFIED",T42="VERIFIED",Z42="REAL PAIRED"),"REVIEW FOR TRAINING","DEMO ONLY")</x:f>
        <x:v>DEMO ONLY</x:v>
      </x:c>
      <x:c r="Y42" t="str">
        <x:v>1 Sample → 2 MQTT → 3 Risk → 4 Image → 5 Lab → 6 Interlock → 7 Dashboard → 8 Store → 9 Review</x:v>
      </x:c>
      <x:c r="Z42" s="6" t="str">
        <x:v>SYNTHETIC / NOT VERIFIED</x:v>
      </x:c>
    </x:row>
    <x:row r="43">
      <x:c r="A43" t="str">
        <x:v>MS-SIM-0042</x:v>
      </x:c>
      <x:c r="B43" t="str">
        <x:v>2026-10-19 18:00:41</x:v>
      </x:c>
      <x:c r="C43" t="str">
        <x:v>ESP32-DEMO-01</x:v>
      </x:c>
      <x:c r="D43" t="str">
        <x:v>Viruses</x:v>
      </x:c>
      <x:c r="E43" t="n">
        <x:v>41.2</x:v>
      </x:c>
      <x:c r="F43" t="n">
        <x:v>6.65</x:v>
      </x:c>
      <x:c r="G43" t="n">
        <x:v>1207</x:v>
      </x:c>
      <x:c r="H43" t="n">
        <x:v>6.94</x:v>
      </x:c>
      <x:c r="I43" t="n">
        <x:v>0.92</x:v>
      </x:c>
      <x:c r="J43" t="n">
        <x:v>55</x:v>
      </x:c>
      <x:c r="K43" t="n">
        <x:v>0.03</x:v>
      </x:c>
      <x:c r="L43" t="n">
        <x:v>1</x:v>
      </x:c>
      <x:c r="M43" t="n">
        <x:v>1</x:v>
      </x:c>
      <x:c r="N43" t="str">
        <x:v>IMG-0042</x:v>
      </x:c>
      <x:c r="O43" t="str">
        <x:v>SYNTHETIC ILLUSTRATION</x:v>
      </x:c>
      <x:c r="P43" t="str">
        <x:v>NOT_VERIFIED</x:v>
      </x:c>
      <x:c r="Q43" t="str">
        <x:v>LAB-0042</x:v>
      </x:c>
      <x:c r="R43" t="str">
        <x:v>RT-qPCR</x:v>
      </x:c>
      <x:c r="S43" t="str">
        <x:v>SIM_NEG</x:v>
      </x:c>
      <x:c r="T43" t="str">
        <x:v>NOT_VERIFIED</x:v>
      </x:c>
      <x:c r="U43" t="n">
        <x:f>MIN(100,MAX(0,(E43-25)*1.5+H43*2+J43*0.25+IF(K43&lt;0.2,15,0)))</x:f>
        <x:v>66.93</x:v>
      </x:c>
      <x:c r="V43" t="str">
        <x:f>IF(U43&gt;=60,"DEMO HIGH",IF(U43&gt;=30,"DEMO MEDIUM","DEMO LOW"))</x:f>
        <x:v>DEMO HIGH</x:v>
      </x:c>
      <x:c r="W43" t="str">
        <x:f>IF(OR(L43&lt;&gt;1,M43&lt;&gt;1,I43&lt;=0),"STOP - FAIL CLOSED","DEMO: VALVE INHIBITED")</x:f>
        <x:v>DEMO: VALVE INHIBITED</x:v>
      </x:c>
      <x:c r="X43" s="8" t="str">
        <x:f>IF(AND(P43="VERIFIED",T43="VERIFIED",Z43="REAL PAIRED"),"REVIEW FOR TRAINING","DEMO ONLY")</x:f>
        <x:v>DEMO ONLY</x:v>
      </x:c>
      <x:c r="Y43" t="str">
        <x:v>1 Sample → 2 MQTT → 3 Risk → 4 Image → 5 Lab → 6 Interlock → 7 Dashboard → 8 Store → 9 Review</x:v>
      </x:c>
      <x:c r="Z43" s="6" t="str">
        <x:v>SYNTHETIC / NOT VERIFIED</x:v>
      </x:c>
    </x:row>
    <x:row r="44">
      <x:c r="A44" t="str">
        <x:v>MS-SIM-0043</x:v>
      </x:c>
      <x:c r="B44" t="str">
        <x:v>2026-10-19 18:00:42</x:v>
      </x:c>
      <x:c r="C44" t="str">
        <x:v>ESP32-DEMO-01</x:v>
      </x:c>
      <x:c r="D44" t="str">
        <x:v>Microplastics</x:v>
      </x:c>
      <x:c r="E44" t="n">
        <x:v>40.3</x:v>
      </x:c>
      <x:c r="F44" t="n">
        <x:v>7.96</x:v>
      </x:c>
      <x:c r="G44" t="n">
        <x:v>1075</x:v>
      </x:c>
      <x:c r="H44" t="n">
        <x:v>7.85</x:v>
      </x:c>
      <x:c r="I44" t="n">
        <x:v>2.6</x:v>
      </x:c>
      <x:c r="J44" t="n">
        <x:v>9.6</x:v>
      </x:c>
      <x:c r="K44" t="n">
        <x:v>0.07</x:v>
      </x:c>
      <x:c r="L44" t="n">
        <x:v>1</x:v>
      </x:c>
      <x:c r="M44" t="n">
        <x:v>1</x:v>
      </x:c>
      <x:c r="N44" t="str">
        <x:v>IMG-0043</x:v>
      </x:c>
      <x:c r="O44" t="str">
        <x:v>SYNTHETIC ILLUSTRATION</x:v>
      </x:c>
      <x:c r="P44" t="str">
        <x:v>NOT_VERIFIED</x:v>
      </x:c>
      <x:c r="Q44" t="str">
        <x:v>LAB-0043</x:v>
      </x:c>
      <x:c r="R44" t="str">
        <x:v>FTIR / Raman</x:v>
      </x:c>
      <x:c r="S44" t="str">
        <x:v>SIM_POS</x:v>
      </x:c>
      <x:c r="T44" t="str">
        <x:v>NOT_VERIFIED</x:v>
      </x:c>
      <x:c r="U44" t="n">
        <x:f>MIN(100,MAX(0,(E44-25)*1.5+H44*2+J44*0.25+IF(K44&lt;0.2,15,0)))</x:f>
        <x:v>56.04999999999999</x:v>
      </x:c>
      <x:c r="V44" t="str">
        <x:f>IF(U44&gt;=60,"DEMO HIGH",IF(U44&gt;=30,"DEMO MEDIUM","DEMO LOW"))</x:f>
        <x:v>DEMO MEDIUM</x:v>
      </x:c>
      <x:c r="W44" t="str">
        <x:f>IF(OR(L44&lt;&gt;1,M44&lt;&gt;1,I44&lt;=0),"STOP - FAIL CLOSED","DEMO: VALVE INHIBITED")</x:f>
        <x:v>DEMO: VALVE INHIBITED</x:v>
      </x:c>
      <x:c r="X44" s="8" t="str">
        <x:f>IF(AND(P44="VERIFIED",T44="VERIFIED",Z44="REAL PAIRED"),"REVIEW FOR TRAINING","DEMO ONLY")</x:f>
        <x:v>DEMO ONLY</x:v>
      </x:c>
      <x:c r="Y44" t="str">
        <x:v>1 Sample → 2 MQTT → 3 Risk → 4 Image → 5 Lab → 6 Interlock → 7 Dashboard → 8 Store → 9 Review</x:v>
      </x:c>
      <x:c r="Z44" s="6" t="str">
        <x:v>SYNTHETIC / NOT VERIFIED</x:v>
      </x:c>
    </x:row>
    <x:row r="45">
      <x:c r="A45" t="str">
        <x:v>MS-SIM-0044</x:v>
      </x:c>
      <x:c r="B45" t="str">
        <x:v>2026-10-19 18:00:43</x:v>
      </x:c>
      <x:c r="C45" t="str">
        <x:v>ESP32-DEMO-01</x:v>
      </x:c>
      <x:c r="D45" t="str">
        <x:v>Algae</x:v>
      </x:c>
      <x:c r="E45" t="n">
        <x:v>34.4</x:v>
      </x:c>
      <x:c r="F45" t="n">
        <x:v>7.07</x:v>
      </x:c>
      <x:c r="G45" t="n">
        <x:v>1412</x:v>
      </x:c>
      <x:c r="H45" t="n">
        <x:v>1.3</x:v>
      </x:c>
      <x:c r="I45" t="n">
        <x:v>1.74</x:v>
      </x:c>
      <x:c r="J45" t="n">
        <x:v>64.7</x:v>
      </x:c>
      <x:c r="K45" t="n">
        <x:v>0.08</x:v>
      </x:c>
      <x:c r="L45" t="n">
        <x:v>1</x:v>
      </x:c>
      <x:c r="M45" t="n">
        <x:v>1</x:v>
      </x:c>
      <x:c r="N45" t="str">
        <x:v>IMG-0044</x:v>
      </x:c>
      <x:c r="O45" t="str">
        <x:v>SYNTHETIC ILLUSTRATION</x:v>
      </x:c>
      <x:c r="P45" t="str">
        <x:v>NOT_VERIFIED</x:v>
      </x:c>
      <x:c r="Q45" t="str">
        <x:v>LAB-0044</x:v>
      </x:c>
      <x:c r="R45" t="str">
        <x:v>Microscopy / pigment</x:v>
      </x:c>
      <x:c r="S45" t="str">
        <x:v>SIM_NEG</x:v>
      </x:c>
      <x:c r="T45" t="str">
        <x:v>NOT_VERIFIED</x:v>
      </x:c>
      <x:c r="U45" t="n">
        <x:f>MIN(100,MAX(0,(E45-25)*1.5+H45*2+J45*0.25+IF(K45&lt;0.2,15,0)))</x:f>
        <x:v>47.875</x:v>
      </x:c>
      <x:c r="V45" t="str">
        <x:f>IF(U45&gt;=60,"DEMO HIGH",IF(U45&gt;=30,"DEMO MEDIUM","DEMO LOW"))</x:f>
        <x:v>DEMO MEDIUM</x:v>
      </x:c>
      <x:c r="W45" t="str">
        <x:f>IF(OR(L45&lt;&gt;1,M45&lt;&gt;1,I45&lt;=0),"STOP - FAIL CLOSED","DEMO: VALVE INHIBITED")</x:f>
        <x:v>DEMO: VALVE INHIBITED</x:v>
      </x:c>
      <x:c r="X45" s="8" t="str">
        <x:f>IF(AND(P45="VERIFIED",T45="VERIFIED",Z45="REAL PAIRED"),"REVIEW FOR TRAINING","DEMO ONLY")</x:f>
        <x:v>DEMO ONLY</x:v>
      </x:c>
      <x:c r="Y45" t="str">
        <x:v>1 Sample → 2 MQTT → 3 Risk → 4 Image → 5 Lab → 6 Interlock → 7 Dashboard → 8 Store → 9 Review</x:v>
      </x:c>
      <x:c r="Z45" s="6" t="str">
        <x:v>SYNTHETIC / NOT VERIFIED</x:v>
      </x:c>
    </x:row>
    <x:row r="46">
      <x:c r="A46" t="str">
        <x:v>MS-SIM-0045</x:v>
      </x:c>
      <x:c r="B46" t="str">
        <x:v>2026-10-19 18:00:44</x:v>
      </x:c>
      <x:c r="C46" t="str">
        <x:v>ESP32-DEMO-01</x:v>
      </x:c>
      <x:c r="D46" t="str">
        <x:v>Legionella</x:v>
      </x:c>
      <x:c r="E46" t="n">
        <x:v>24.6</x:v>
      </x:c>
      <x:c r="F46" t="n">
        <x:v>7.45</x:v>
      </x:c>
      <x:c r="G46" t="n">
        <x:v>688</x:v>
      </x:c>
      <x:c r="H46" t="n">
        <x:v>13.47</x:v>
      </x:c>
      <x:c r="I46" t="n">
        <x:v>1.08</x:v>
      </x:c>
      <x:c r="J46" t="n">
        <x:v>57.6</x:v>
      </x:c>
      <x:c r="K46" t="n">
        <x:v>0.55</x:v>
      </x:c>
      <x:c r="L46" t="n">
        <x:v>0</x:v>
      </x:c>
      <x:c r="M46" t="n">
        <x:v>1</x:v>
      </x:c>
      <x:c r="N46" t="str">
        <x:v>IMG-0045</x:v>
      </x:c>
      <x:c r="O46" t="str">
        <x:v>SYNTHETIC ILLUSTRATION</x:v>
      </x:c>
      <x:c r="P46" t="str">
        <x:v>NOT_VERIFIED</x:v>
      </x:c>
      <x:c r="Q46" t="str">
        <x:v>LAB-0045</x:v>
      </x:c>
      <x:c r="R46" t="str">
        <x:v>Culture / qPCR</x:v>
      </x:c>
      <x:c r="S46" t="str">
        <x:v>SIM_NEG</x:v>
      </x:c>
      <x:c r="T46" t="str">
        <x:v>NOT_VERIFIED</x:v>
      </x:c>
      <x:c r="U46" t="n">
        <x:f>MIN(100,MAX(0,(E46-25)*1.5+H46*2+J46*0.25+IF(K46&lt;0.2,15,0)))</x:f>
        <x:v>40.74</x:v>
      </x:c>
      <x:c r="V46" t="str">
        <x:f>IF(U46&gt;=60,"DEMO HIGH",IF(U46&gt;=30,"DEMO MEDIUM","DEMO LOW"))</x:f>
        <x:v>DEMO MEDIUM</x:v>
      </x:c>
      <x:c r="W46" t="str">
        <x:f>IF(OR(L46&lt;&gt;1,M46&lt;&gt;1,I46&lt;=0),"STOP - FAIL CLOSED","DEMO: VALVE INHIBITED")</x:f>
        <x:v>STOP - FAIL CLOSED</x:v>
      </x:c>
      <x:c r="X46" s="8" t="str">
        <x:f>IF(AND(P46="VERIFIED",T46="VERIFIED",Z46="REAL PAIRED"),"REVIEW FOR TRAINING","DEMO ONLY")</x:f>
        <x:v>DEMO ONLY</x:v>
      </x:c>
      <x:c r="Y46" t="str">
        <x:v>1 Sample → 2 MQTT → 3 Risk → 4 Image → 5 Lab → 6 Interlock → 7 Dashboard → 8 Store → 9 Review</x:v>
      </x:c>
      <x:c r="Z46" s="6" t="str">
        <x:v>SYNTHETIC / NOT VERIFIED</x:v>
      </x:c>
    </x:row>
    <x:row r="47">
      <x:c r="A47" t="str">
        <x:v>MS-SIM-0046</x:v>
      </x:c>
      <x:c r="B47" t="str">
        <x:v>2026-10-19 18:00:45</x:v>
      </x:c>
      <x:c r="C47" t="str">
        <x:v>ESP32-DEMO-01</x:v>
      </x:c>
      <x:c r="D47" t="str">
        <x:v>Viruses</x:v>
      </x:c>
      <x:c r="E47" t="n">
        <x:v>29.3</x:v>
      </x:c>
      <x:c r="F47" t="n">
        <x:v>6.72</x:v>
      </x:c>
      <x:c r="G47" t="n">
        <x:v>640</x:v>
      </x:c>
      <x:c r="H47" t="n">
        <x:v>0.69</x:v>
      </x:c>
      <x:c r="I47" t="n">
        <x:v>2.63</x:v>
      </x:c>
      <x:c r="J47" t="n">
        <x:v>12.2</x:v>
      </x:c>
      <x:c r="K47" t="n">
        <x:v>0.28</x:v>
      </x:c>
      <x:c r="L47" t="n">
        <x:v>1</x:v>
      </x:c>
      <x:c r="M47" t="n">
        <x:v>1</x:v>
      </x:c>
      <x:c r="N47" t="str">
        <x:v>IMG-0046</x:v>
      </x:c>
      <x:c r="O47" t="str">
        <x:v>SYNTHETIC ILLUSTRATION</x:v>
      </x:c>
      <x:c r="P47" t="str">
        <x:v>NOT_VERIFIED</x:v>
      </x:c>
      <x:c r="Q47" t="str">
        <x:v>LAB-0046</x:v>
      </x:c>
      <x:c r="R47" t="str">
        <x:v>RT-qPCR</x:v>
      </x:c>
      <x:c r="S47" t="str">
        <x:v>SIM_POS</x:v>
      </x:c>
      <x:c r="T47" t="str">
        <x:v>NOT_VERIFIED</x:v>
      </x:c>
      <x:c r="U47" t="n">
        <x:f>MIN(100,MAX(0,(E47-25)*1.5+H47*2+J47*0.25+IF(K47&lt;0.2,15,0)))</x:f>
        <x:v>10.88</x:v>
      </x:c>
      <x:c r="V47" t="str">
        <x:f>IF(U47&gt;=60,"DEMO HIGH",IF(U47&gt;=30,"DEMO MEDIUM","DEMO LOW"))</x:f>
        <x:v>DEMO LOW</x:v>
      </x:c>
      <x:c r="W47" t="str">
        <x:f>IF(OR(L47&lt;&gt;1,M47&lt;&gt;1,I47&lt;=0),"STOP - FAIL CLOSED","DEMO: VALVE INHIBITED")</x:f>
        <x:v>DEMO: VALVE INHIBITED</x:v>
      </x:c>
      <x:c r="X47" s="8" t="str">
        <x:f>IF(AND(P47="VERIFIED",T47="VERIFIED",Z47="REAL PAIRED"),"REVIEW FOR TRAINING","DEMO ONLY")</x:f>
        <x:v>DEMO ONLY</x:v>
      </x:c>
      <x:c r="Y47" t="str">
        <x:v>1 Sample → 2 MQTT → 3 Risk → 4 Image → 5 Lab → 6 Interlock → 7 Dashboard → 8 Store → 9 Review</x:v>
      </x:c>
      <x:c r="Z47" s="6" t="str">
        <x:v>SYNTHETIC / NOT VERIFIED</x:v>
      </x:c>
    </x:row>
    <x:row r="48">
      <x:c r="A48" t="str">
        <x:v>MS-SIM-0047</x:v>
      </x:c>
      <x:c r="B48" t="str">
        <x:v>2026-10-19 18:00:46</x:v>
      </x:c>
      <x:c r="C48" t="str">
        <x:v>ESP32-DEMO-01</x:v>
      </x:c>
      <x:c r="D48" t="str">
        <x:v>Microplastics</x:v>
      </x:c>
      <x:c r="E48" t="n">
        <x:v>42.4</x:v>
      </x:c>
      <x:c r="F48" t="n">
        <x:v>8.5</x:v>
      </x:c>
      <x:c r="G48" t="n">
        <x:v>1276</x:v>
      </x:c>
      <x:c r="H48" t="n">
        <x:v>9.35</x:v>
      </x:c>
      <x:c r="I48" t="n">
        <x:v>3.04</x:v>
      </x:c>
      <x:c r="J48" t="n">
        <x:v>38.6</x:v>
      </x:c>
      <x:c r="K48" t="n">
        <x:v>0.45</x:v>
      </x:c>
      <x:c r="L48" t="n">
        <x:v>1</x:v>
      </x:c>
      <x:c r="M48" t="n">
        <x:v>1</x:v>
      </x:c>
      <x:c r="N48" t="str">
        <x:v>IMG-0047</x:v>
      </x:c>
      <x:c r="O48" t="str">
        <x:v>SYNTHETIC ILLUSTRATION</x:v>
      </x:c>
      <x:c r="P48" t="str">
        <x:v>NOT_VERIFIED</x:v>
      </x:c>
      <x:c r="Q48" t="str">
        <x:v>LAB-0047</x:v>
      </x:c>
      <x:c r="R48" t="str">
        <x:v>FTIR / Raman</x:v>
      </x:c>
      <x:c r="S48" t="str">
        <x:v>SIM_NEG</x:v>
      </x:c>
      <x:c r="T48" t="str">
        <x:v>NOT_VERIFIED</x:v>
      </x:c>
      <x:c r="U48" t="n">
        <x:f>MIN(100,MAX(0,(E48-25)*1.5+H48*2+J48*0.25+IF(K48&lt;0.2,15,0)))</x:f>
        <x:v>54.449999999999996</x:v>
      </x:c>
      <x:c r="V48" t="str">
        <x:f>IF(U48&gt;=60,"DEMO HIGH",IF(U48&gt;=30,"DEMO MEDIUM","DEMO LOW"))</x:f>
        <x:v>DEMO MEDIUM</x:v>
      </x:c>
      <x:c r="W48" t="str">
        <x:f>IF(OR(L48&lt;&gt;1,M48&lt;&gt;1,I48&lt;=0),"STOP - FAIL CLOSED","DEMO: VALVE INHIBITED")</x:f>
        <x:v>DEMO: VALVE INHIBITED</x:v>
      </x:c>
      <x:c r="X48" s="8" t="str">
        <x:f>IF(AND(P48="VERIFIED",T48="VERIFIED",Z48="REAL PAIRED"),"REVIEW FOR TRAINING","DEMO ONLY")</x:f>
        <x:v>DEMO ONLY</x:v>
      </x:c>
      <x:c r="Y48" t="str">
        <x:v>1 Sample → 2 MQTT → 3 Risk → 4 Image → 5 Lab → 6 Interlock → 7 Dashboard → 8 Store → 9 Review</x:v>
      </x:c>
      <x:c r="Z48" s="6" t="str">
        <x:v>SYNTHETIC / NOT VERIFIED</x:v>
      </x:c>
    </x:row>
    <x:row r="49">
      <x:c r="A49" t="str">
        <x:v>MS-SIM-0048</x:v>
      </x:c>
      <x:c r="B49" t="str">
        <x:v>2026-10-19 18:00:47</x:v>
      </x:c>
      <x:c r="C49" t="str">
        <x:v>ESP32-DEMO-01</x:v>
      </x:c>
      <x:c r="D49" t="str">
        <x:v>Algae</x:v>
      </x:c>
      <x:c r="E49" t="n">
        <x:v>37.8</x:v>
      </x:c>
      <x:c r="F49" t="n">
        <x:v>8.13</x:v>
      </x:c>
      <x:c r="G49" t="n">
        <x:v>693</x:v>
      </x:c>
      <x:c r="H49" t="n">
        <x:v>7.39</x:v>
      </x:c>
      <x:c r="I49" t="n">
        <x:v>1.48</x:v>
      </x:c>
      <x:c r="J49" t="n">
        <x:v>39.5</x:v>
      </x:c>
      <x:c r="K49" t="n">
        <x:v>0.55</x:v>
      </x:c>
      <x:c r="L49" t="n">
        <x:v>1</x:v>
      </x:c>
      <x:c r="M49" t="n">
        <x:v>1</x:v>
      </x:c>
      <x:c r="N49" t="str">
        <x:v>IMG-0048</x:v>
      </x:c>
      <x:c r="O49" t="str">
        <x:v>SYNTHETIC ILLUSTRATION</x:v>
      </x:c>
      <x:c r="P49" t="str">
        <x:v>NOT_VERIFIED</x:v>
      </x:c>
      <x:c r="Q49" t="str">
        <x:v>LAB-0048</x:v>
      </x:c>
      <x:c r="R49" t="str">
        <x:v>Microscopy / pigment</x:v>
      </x:c>
      <x:c r="S49" t="str">
        <x:v>SIM_NEG</x:v>
      </x:c>
      <x:c r="T49" t="str">
        <x:v>NOT_VERIFIED</x:v>
      </x:c>
      <x:c r="U49" t="n">
        <x:f>MIN(100,MAX(0,(E49-25)*1.5+H49*2+J49*0.25+IF(K49&lt;0.2,15,0)))</x:f>
        <x:v>43.855</x:v>
      </x:c>
      <x:c r="V49" t="str">
        <x:f>IF(U49&gt;=60,"DEMO HIGH",IF(U49&gt;=30,"DEMO MEDIUM","DEMO LOW"))</x:f>
        <x:v>DEMO MEDIUM</x:v>
      </x:c>
      <x:c r="W49" t="str">
        <x:f>IF(OR(L49&lt;&gt;1,M49&lt;&gt;1,I49&lt;=0),"STOP - FAIL CLOSED","DEMO: VALVE INHIBITED")</x:f>
        <x:v>DEMO: VALVE INHIBITED</x:v>
      </x:c>
      <x:c r="X49" s="8" t="str">
        <x:f>IF(AND(P49="VERIFIED",T49="VERIFIED",Z49="REAL PAIRED"),"REVIEW FOR TRAINING","DEMO ONLY")</x:f>
        <x:v>DEMO ONLY</x:v>
      </x:c>
      <x:c r="Y49" t="str">
        <x:v>1 Sample → 2 MQTT → 3 Risk → 4 Image → 5 Lab → 6 Interlock → 7 Dashboard → 8 Store → 9 Review</x:v>
      </x:c>
      <x:c r="Z49" s="6" t="str">
        <x:v>SYNTHETIC / NOT VERIFIED</x:v>
      </x:c>
    </x:row>
    <x:row r="50">
      <x:c r="A50" t="str">
        <x:v>MS-SIM-0049</x:v>
      </x:c>
      <x:c r="B50" t="str">
        <x:v>2026-10-19 18:00:48</x:v>
      </x:c>
      <x:c r="C50" t="str">
        <x:v>ESP32-DEMO-01</x:v>
      </x:c>
      <x:c r="D50" t="str">
        <x:v>Legionella</x:v>
      </x:c>
      <x:c r="E50" t="n">
        <x:v>37.3</x:v>
      </x:c>
      <x:c r="F50" t="n">
        <x:v>6.55</x:v>
      </x:c>
      <x:c r="G50" t="n">
        <x:v>1556</x:v>
      </x:c>
      <x:c r="H50" t="n">
        <x:v>0.88</x:v>
      </x:c>
      <x:c r="I50" t="n">
        <x:v>3.02</x:v>
      </x:c>
      <x:c r="J50" t="n">
        <x:v>81.1</x:v>
      </x:c>
      <x:c r="K50" t="n">
        <x:v>0.36</x:v>
      </x:c>
      <x:c r="L50" t="n">
        <x:v>1</x:v>
      </x:c>
      <x:c r="M50" t="n">
        <x:v>1</x:v>
      </x:c>
      <x:c r="N50" t="str">
        <x:v>IMG-0049</x:v>
      </x:c>
      <x:c r="O50" t="str">
        <x:v>SYNTHETIC ILLUSTRATION</x:v>
      </x:c>
      <x:c r="P50" t="str">
        <x:v>NOT_VERIFIED</x:v>
      </x:c>
      <x:c r="Q50" t="str">
        <x:v>LAB-0049</x:v>
      </x:c>
      <x:c r="R50" t="str">
        <x:v>Culture / qPCR</x:v>
      </x:c>
      <x:c r="S50" t="str">
        <x:v>SIM_POS</x:v>
      </x:c>
      <x:c r="T50" t="str">
        <x:v>NOT_VERIFIED</x:v>
      </x:c>
      <x:c r="U50" t="n">
        <x:f>MIN(100,MAX(0,(E50-25)*1.5+H50*2+J50*0.25+IF(K50&lt;0.2,15,0)))</x:f>
        <x:v>40.485</x:v>
      </x:c>
      <x:c r="V50" t="str">
        <x:f>IF(U50&gt;=60,"DEMO HIGH",IF(U50&gt;=30,"DEMO MEDIUM","DEMO LOW"))</x:f>
        <x:v>DEMO MEDIUM</x:v>
      </x:c>
      <x:c r="W50" t="str">
        <x:f>IF(OR(L50&lt;&gt;1,M50&lt;&gt;1,I50&lt;=0),"STOP - FAIL CLOSED","DEMO: VALVE INHIBITED")</x:f>
        <x:v>DEMO: VALVE INHIBITED</x:v>
      </x:c>
      <x:c r="X50" s="8" t="str">
        <x:f>IF(AND(P50="VERIFIED",T50="VERIFIED",Z50="REAL PAIRED"),"REVIEW FOR TRAINING","DEMO ONLY")</x:f>
        <x:v>DEMO ONLY</x:v>
      </x:c>
      <x:c r="Y50" t="str">
        <x:v>1 Sample → 2 MQTT → 3 Risk → 4 Image → 5 Lab → 6 Interlock → 7 Dashboard → 8 Store → 9 Review</x:v>
      </x:c>
      <x:c r="Z50" s="6" t="str">
        <x:v>SYNTHETIC / NOT VERIFIED</x:v>
      </x:c>
    </x:row>
    <x:row r="51">
      <x:c r="A51" t="str">
        <x:v>MS-SIM-0050</x:v>
      </x:c>
      <x:c r="B51" t="str">
        <x:v>2026-10-19 18:00:49</x:v>
      </x:c>
      <x:c r="C51" t="str">
        <x:v>ESP32-DEMO-01</x:v>
      </x:c>
      <x:c r="D51" t="str">
        <x:v>Viruses</x:v>
      </x:c>
      <x:c r="E51" t="n">
        <x:v>34.2</x:v>
      </x:c>
      <x:c r="F51" t="n">
        <x:v>6.73</x:v>
      </x:c>
      <x:c r="G51" t="n">
        <x:v>669</x:v>
      </x:c>
      <x:c r="H51" t="n">
        <x:v>10.4</x:v>
      </x:c>
      <x:c r="I51" t="n">
        <x:v>0.38</x:v>
      </x:c>
      <x:c r="J51" t="n">
        <x:v>87.8</x:v>
      </x:c>
      <x:c r="K51" t="n">
        <x:v>0.61</x:v>
      </x:c>
      <x:c r="L51" t="n">
        <x:v>1</x:v>
      </x:c>
      <x:c r="M51" t="n">
        <x:v>1</x:v>
      </x:c>
      <x:c r="N51" t="str">
        <x:v>IMG-0050</x:v>
      </x:c>
      <x:c r="O51" t="str">
        <x:v>SYNTHETIC ILLUSTRATION</x:v>
      </x:c>
      <x:c r="P51" t="str">
        <x:v>NOT_VERIFIED</x:v>
      </x:c>
      <x:c r="Q51" t="str">
        <x:v>LAB-0050</x:v>
      </x:c>
      <x:c r="R51" t="str">
        <x:v>RT-qPCR</x:v>
      </x:c>
      <x:c r="S51" t="str">
        <x:v>SIM_NEG</x:v>
      </x:c>
      <x:c r="T51" t="str">
        <x:v>NOT_VERIFIED</x:v>
      </x:c>
      <x:c r="U51" t="n">
        <x:f>MIN(100,MAX(0,(E51-25)*1.5+H51*2+J51*0.25+IF(K51&lt;0.2,15,0)))</x:f>
        <x:v>56.55000000000001</x:v>
      </x:c>
      <x:c r="V51" t="str">
        <x:f>IF(U51&gt;=60,"DEMO HIGH",IF(U51&gt;=30,"DEMO MEDIUM","DEMO LOW"))</x:f>
        <x:v>DEMO MEDIUM</x:v>
      </x:c>
      <x:c r="W51" t="str">
        <x:f>IF(OR(L51&lt;&gt;1,M51&lt;&gt;1,I51&lt;=0),"STOP - FAIL CLOSED","DEMO: VALVE INHIBITED")</x:f>
        <x:v>DEMO: VALVE INHIBITED</x:v>
      </x:c>
      <x:c r="X51" s="8" t="str">
        <x:f>IF(AND(P51="VERIFIED",T51="VERIFIED",Z51="REAL PAIRED"),"REVIEW FOR TRAINING","DEMO ONLY")</x:f>
        <x:v>DEMO ONLY</x:v>
      </x:c>
      <x:c r="Y51" t="str">
        <x:v>1 Sample → 2 MQTT → 3 Risk → 4 Image → 5 Lab → 6 Interlock → 7 Dashboard → 8 Store → 9 Review</x:v>
      </x:c>
      <x:c r="Z51" s="6" t="str">
        <x:v>SYNTHETIC / NOT VERIFIED</x:v>
      </x:c>
    </x:row>
    <x:row r="52">
      <x:c r="A52" t="str">
        <x:v>MS-SIM-0051</x:v>
      </x:c>
      <x:c r="B52" t="str">
        <x:v>2026-10-19 18:00:50</x:v>
      </x:c>
      <x:c r="C52" t="str">
        <x:v>ESP32-DEMO-01</x:v>
      </x:c>
      <x:c r="D52" t="str">
        <x:v>Microplastics</x:v>
      </x:c>
      <x:c r="E52" t="n">
        <x:v>41.2</x:v>
      </x:c>
      <x:c r="F52" t="n">
        <x:v>8.11</x:v>
      </x:c>
      <x:c r="G52" t="n">
        <x:v>856</x:v>
      </x:c>
      <x:c r="H52" t="n">
        <x:v>12.82</x:v>
      </x:c>
      <x:c r="I52" t="n">
        <x:v>1.75</x:v>
      </x:c>
      <x:c r="J52" t="n">
        <x:v>62.3</x:v>
      </x:c>
      <x:c r="K52" t="n">
        <x:v>0.11</x:v>
      </x:c>
      <x:c r="L52" t="n">
        <x:v>1</x:v>
      </x:c>
      <x:c r="M52" t="n">
        <x:v>1</x:v>
      </x:c>
      <x:c r="N52" t="str">
        <x:v>IMG-0051</x:v>
      </x:c>
      <x:c r="O52" t="str">
        <x:v>SYNTHETIC ILLUSTRATION</x:v>
      </x:c>
      <x:c r="P52" t="str">
        <x:v>NOT_VERIFIED</x:v>
      </x:c>
      <x:c r="Q52" t="str">
        <x:v>LAB-0051</x:v>
      </x:c>
      <x:c r="R52" t="str">
        <x:v>FTIR / Raman</x:v>
      </x:c>
      <x:c r="S52" t="str">
        <x:v>SIM_NEG</x:v>
      </x:c>
      <x:c r="T52" t="str">
        <x:v>NOT_VERIFIED</x:v>
      </x:c>
      <x:c r="U52" t="n">
        <x:f>MIN(100,MAX(0,(E52-25)*1.5+H52*2+J52*0.25+IF(K52&lt;0.2,15,0)))</x:f>
        <x:v>80.515</x:v>
      </x:c>
      <x:c r="V52" t="str">
        <x:f>IF(U52&gt;=60,"DEMO HIGH",IF(U52&gt;=30,"DEMO MEDIUM","DEMO LOW"))</x:f>
        <x:v>DEMO HIGH</x:v>
      </x:c>
      <x:c r="W52" t="str">
        <x:f>IF(OR(L52&lt;&gt;1,M52&lt;&gt;1,I52&lt;=0),"STOP - FAIL CLOSED","DEMO: VALVE INHIBITED")</x:f>
        <x:v>DEMO: VALVE INHIBITED</x:v>
      </x:c>
      <x:c r="X52" s="8" t="str">
        <x:f>IF(AND(P52="VERIFIED",T52="VERIFIED",Z52="REAL PAIRED"),"REVIEW FOR TRAINING","DEMO ONLY")</x:f>
        <x:v>DEMO ONLY</x:v>
      </x:c>
      <x:c r="Y52" t="str">
        <x:v>1 Sample → 2 MQTT → 3 Risk → 4 Image → 5 Lab → 6 Interlock → 7 Dashboard → 8 Store → 9 Review</x:v>
      </x:c>
      <x:c r="Z52" s="6" t="str">
        <x:v>SYNTHETIC / NOT VERIFIED</x:v>
      </x:c>
    </x:row>
    <x:row r="53">
      <x:c r="A53" t="str">
        <x:v>MS-SIM-0052</x:v>
      </x:c>
      <x:c r="B53" t="str">
        <x:v>2026-10-19 18:00:51</x:v>
      </x:c>
      <x:c r="C53" t="str">
        <x:v>ESP32-DEMO-01</x:v>
      </x:c>
      <x:c r="D53" t="str">
        <x:v>Algae</x:v>
      </x:c>
      <x:c r="E53" t="n">
        <x:v>41.4</x:v>
      </x:c>
      <x:c r="F53" t="n">
        <x:v>6.98</x:v>
      </x:c>
      <x:c r="G53" t="n">
        <x:v>237</x:v>
      </x:c>
      <x:c r="H53" t="n">
        <x:v>7.01</x:v>
      </x:c>
      <x:c r="I53" t="n">
        <x:v>2.96</x:v>
      </x:c>
      <x:c r="J53" t="n">
        <x:v>60.8</x:v>
      </x:c>
      <x:c r="K53" t="n">
        <x:v>0.62</x:v>
      </x:c>
      <x:c r="L53" t="n">
        <x:v>1</x:v>
      </x:c>
      <x:c r="M53" t="n">
        <x:v>1</x:v>
      </x:c>
      <x:c r="N53" t="str">
        <x:v>IMG-0052</x:v>
      </x:c>
      <x:c r="O53" t="str">
        <x:v>SYNTHETIC ILLUSTRATION</x:v>
      </x:c>
      <x:c r="P53" t="str">
        <x:v>NOT_VERIFIED</x:v>
      </x:c>
      <x:c r="Q53" t="str">
        <x:v>LAB-0052</x:v>
      </x:c>
      <x:c r="R53" t="str">
        <x:v>Microscopy / pigment</x:v>
      </x:c>
      <x:c r="S53" t="str">
        <x:v>SIM_POS</x:v>
      </x:c>
      <x:c r="T53" t="str">
        <x:v>NOT_VERIFIED</x:v>
      </x:c>
      <x:c r="U53" t="n">
        <x:f>MIN(100,MAX(0,(E53-25)*1.5+H53*2+J53*0.25+IF(K53&lt;0.2,15,0)))</x:f>
        <x:v>53.81999999999999</x:v>
      </x:c>
      <x:c r="V53" t="str">
        <x:f>IF(U53&gt;=60,"DEMO HIGH",IF(U53&gt;=30,"DEMO MEDIUM","DEMO LOW"))</x:f>
        <x:v>DEMO MEDIUM</x:v>
      </x:c>
      <x:c r="W53" t="str">
        <x:f>IF(OR(L53&lt;&gt;1,M53&lt;&gt;1,I53&lt;=0),"STOP - FAIL CLOSED","DEMO: VALVE INHIBITED")</x:f>
        <x:v>DEMO: VALVE INHIBITED</x:v>
      </x:c>
      <x:c r="X53" s="8" t="str">
        <x:f>IF(AND(P53="VERIFIED",T53="VERIFIED",Z53="REAL PAIRED"),"REVIEW FOR TRAINING","DEMO ONLY")</x:f>
        <x:v>DEMO ONLY</x:v>
      </x:c>
      <x:c r="Y53" t="str">
        <x:v>1 Sample → 2 MQTT → 3 Risk → 4 Image → 5 Lab → 6 Interlock → 7 Dashboard → 8 Store → 9 Review</x:v>
      </x:c>
      <x:c r="Z53" s="6" t="str">
        <x:v>SYNTHETIC / NOT VERIFIED</x:v>
      </x:c>
    </x:row>
    <x:row r="54">
      <x:c r="A54" t="str">
        <x:v>MS-SIM-0053</x:v>
      </x:c>
      <x:c r="B54" t="str">
        <x:v>2026-10-19 18:00:52</x:v>
      </x:c>
      <x:c r="C54" t="str">
        <x:v>ESP32-DEMO-01</x:v>
      </x:c>
      <x:c r="D54" t="str">
        <x:v>Legionella</x:v>
      </x:c>
      <x:c r="E54" t="n">
        <x:v>23.5</x:v>
      </x:c>
      <x:c r="F54" t="n">
        <x:v>8.29</x:v>
      </x:c>
      <x:c r="G54" t="n">
        <x:v>1467</x:v>
      </x:c>
      <x:c r="H54" t="n">
        <x:v>4.32</x:v>
      </x:c>
      <x:c r="I54" t="n">
        <x:v>2.13</x:v>
      </x:c>
      <x:c r="J54" t="n">
        <x:v>76.7</x:v>
      </x:c>
      <x:c r="K54" t="n">
        <x:v>0.02</x:v>
      </x:c>
      <x:c r="L54" t="n">
        <x:v>1</x:v>
      </x:c>
      <x:c r="M54" t="n">
        <x:v>1</x:v>
      </x:c>
      <x:c r="N54" t="str">
        <x:v>IMG-0053</x:v>
      </x:c>
      <x:c r="O54" t="str">
        <x:v>SYNTHETIC ILLUSTRATION</x:v>
      </x:c>
      <x:c r="P54" t="str">
        <x:v>NOT_VERIFIED</x:v>
      </x:c>
      <x:c r="Q54" t="str">
        <x:v>LAB-0053</x:v>
      </x:c>
      <x:c r="R54" t="str">
        <x:v>Culture / qPCR</x:v>
      </x:c>
      <x:c r="S54" t="str">
        <x:v>SIM_NEG</x:v>
      </x:c>
      <x:c r="T54" t="str">
        <x:v>NOT_VERIFIED</x:v>
      </x:c>
      <x:c r="U54" t="n">
        <x:f>MIN(100,MAX(0,(E54-25)*1.5+H54*2+J54*0.25+IF(K54&lt;0.2,15,0)))</x:f>
        <x:v>40.565</x:v>
      </x:c>
      <x:c r="V54" t="str">
        <x:f>IF(U54&gt;=60,"DEMO HIGH",IF(U54&gt;=30,"DEMO MEDIUM","DEMO LOW"))</x:f>
        <x:v>DEMO MEDIUM</x:v>
      </x:c>
      <x:c r="W54" t="str">
        <x:f>IF(OR(L54&lt;&gt;1,M54&lt;&gt;1,I54&lt;=0),"STOP - FAIL CLOSED","DEMO: VALVE INHIBITED")</x:f>
        <x:v>DEMO: VALVE INHIBITED</x:v>
      </x:c>
      <x:c r="X54" s="8" t="str">
        <x:f>IF(AND(P54="VERIFIED",T54="VERIFIED",Z54="REAL PAIRED"),"REVIEW FOR TRAINING","DEMO ONLY")</x:f>
        <x:v>DEMO ONLY</x:v>
      </x:c>
      <x:c r="Y54" t="str">
        <x:v>1 Sample → 2 MQTT → 3 Risk → 4 Image → 5 Lab → 6 Interlock → 7 Dashboard → 8 Store → 9 Review</x:v>
      </x:c>
      <x:c r="Z54" s="6" t="str">
        <x:v>SYNTHETIC / NOT VERIFIED</x:v>
      </x:c>
    </x:row>
    <x:row r="55">
      <x:c r="A55" t="str">
        <x:v>MS-SIM-0054</x:v>
      </x:c>
      <x:c r="B55" t="str">
        <x:v>2026-10-19 18:00:53</x:v>
      </x:c>
      <x:c r="C55" t="str">
        <x:v>ESP32-DEMO-01</x:v>
      </x:c>
      <x:c r="D55" t="str">
        <x:v>Viruses</x:v>
      </x:c>
      <x:c r="E55" t="n">
        <x:v>29.2</x:v>
      </x:c>
      <x:c r="F55" t="n">
        <x:v>6.96</x:v>
      </x:c>
      <x:c r="G55" t="n">
        <x:v>501</x:v>
      </x:c>
      <x:c r="H55" t="n">
        <x:v>12.65</x:v>
      </x:c>
      <x:c r="I55" t="n">
        <x:v>0.6</x:v>
      </x:c>
      <x:c r="J55" t="n">
        <x:v>86.8</x:v>
      </x:c>
      <x:c r="K55" t="n">
        <x:v>0.5</x:v>
      </x:c>
      <x:c r="L55" t="n">
        <x:v>1</x:v>
      </x:c>
      <x:c r="M55" t="n">
        <x:v>1</x:v>
      </x:c>
      <x:c r="N55" t="str">
        <x:v>IMG-0054</x:v>
      </x:c>
      <x:c r="O55" t="str">
        <x:v>SYNTHETIC ILLUSTRATION</x:v>
      </x:c>
      <x:c r="P55" t="str">
        <x:v>NOT_VERIFIED</x:v>
      </x:c>
      <x:c r="Q55" t="str">
        <x:v>LAB-0054</x:v>
      </x:c>
      <x:c r="R55" t="str">
        <x:v>RT-qPCR</x:v>
      </x:c>
      <x:c r="S55" t="str">
        <x:v>SIM_NEG</x:v>
      </x:c>
      <x:c r="T55" t="str">
        <x:v>NOT_VERIFIED</x:v>
      </x:c>
      <x:c r="U55" t="n">
        <x:f>MIN(100,MAX(0,(E55-25)*1.5+H55*2+J55*0.25+IF(K55&lt;0.2,15,0)))</x:f>
        <x:v>53.3</x:v>
      </x:c>
      <x:c r="V55" t="str">
        <x:f>IF(U55&gt;=60,"DEMO HIGH",IF(U55&gt;=30,"DEMO MEDIUM","DEMO LOW"))</x:f>
        <x:v>DEMO MEDIUM</x:v>
      </x:c>
      <x:c r="W55" t="str">
        <x:f>IF(OR(L55&lt;&gt;1,M55&lt;&gt;1,I55&lt;=0),"STOP - FAIL CLOSED","DEMO: VALVE INHIBITED")</x:f>
        <x:v>DEMO: VALVE INHIBITED</x:v>
      </x:c>
      <x:c r="X55" s="8" t="str">
        <x:f>IF(AND(P55="VERIFIED",T55="VERIFIED",Z55="REAL PAIRED"),"REVIEW FOR TRAINING","DEMO ONLY")</x:f>
        <x:v>DEMO ONLY</x:v>
      </x:c>
      <x:c r="Y55" t="str">
        <x:v>1 Sample → 2 MQTT → 3 Risk → 4 Image → 5 Lab → 6 Interlock → 7 Dashboard → 8 Store → 9 Review</x:v>
      </x:c>
      <x:c r="Z55" s="6" t="str">
        <x:v>SYNTHETIC / NOT VERIFIED</x:v>
      </x:c>
    </x:row>
    <x:row r="56">
      <x:c r="A56" t="str">
        <x:v>MS-SIM-0055</x:v>
      </x:c>
      <x:c r="B56" t="str">
        <x:v>2026-10-19 18:00:54</x:v>
      </x:c>
      <x:c r="C56" t="str">
        <x:v>ESP32-DEMO-01</x:v>
      </x:c>
      <x:c r="D56" t="str">
        <x:v>Microplastics</x:v>
      </x:c>
      <x:c r="E56" t="n">
        <x:v>38.7</x:v>
      </x:c>
      <x:c r="F56" t="n">
        <x:v>8.45</x:v>
      </x:c>
      <x:c r="G56" t="n">
        <x:v>622</x:v>
      </x:c>
      <x:c r="H56" t="n">
        <x:v>9.44</x:v>
      </x:c>
      <x:c r="I56" t="n">
        <x:v>1.47</x:v>
      </x:c>
      <x:c r="J56" t="n">
        <x:v>38</x:v>
      </x:c>
      <x:c r="K56" t="n">
        <x:v>0.35</x:v>
      </x:c>
      <x:c r="L56" t="n">
        <x:v>1</x:v>
      </x:c>
      <x:c r="M56" t="n">
        <x:v>1</x:v>
      </x:c>
      <x:c r="N56" t="str">
        <x:v>IMG-0055</x:v>
      </x:c>
      <x:c r="O56" t="str">
        <x:v>SYNTHETIC ILLUSTRATION</x:v>
      </x:c>
      <x:c r="P56" t="str">
        <x:v>NOT_VERIFIED</x:v>
      </x:c>
      <x:c r="Q56" t="str">
        <x:v>LAB-0055</x:v>
      </x:c>
      <x:c r="R56" t="str">
        <x:v>FTIR / Raman</x:v>
      </x:c>
      <x:c r="S56" t="str">
        <x:v>SIM_POS</x:v>
      </x:c>
      <x:c r="T56" t="str">
        <x:v>NOT_VERIFIED</x:v>
      </x:c>
      <x:c r="U56" t="n">
        <x:f>MIN(100,MAX(0,(E56-25)*1.5+H56*2+J56*0.25+IF(K56&lt;0.2,15,0)))</x:f>
        <x:v>48.93000000000001</x:v>
      </x:c>
      <x:c r="V56" t="str">
        <x:f>IF(U56&gt;=60,"DEMO HIGH",IF(U56&gt;=30,"DEMO MEDIUM","DEMO LOW"))</x:f>
        <x:v>DEMO MEDIUM</x:v>
      </x:c>
      <x:c r="W56" t="str">
        <x:f>IF(OR(L56&lt;&gt;1,M56&lt;&gt;1,I56&lt;=0),"STOP - FAIL CLOSED","DEMO: VALVE INHIBITED")</x:f>
        <x:v>DEMO: VALVE INHIBITED</x:v>
      </x:c>
      <x:c r="X56" s="8" t="str">
        <x:f>IF(AND(P56="VERIFIED",T56="VERIFIED",Z56="REAL PAIRED"),"REVIEW FOR TRAINING","DEMO ONLY")</x:f>
        <x:v>DEMO ONLY</x:v>
      </x:c>
      <x:c r="Y56" t="str">
        <x:v>1 Sample → 2 MQTT → 3 Risk → 4 Image → 5 Lab → 6 Interlock → 7 Dashboard → 8 Store → 9 Review</x:v>
      </x:c>
      <x:c r="Z56" s="6" t="str">
        <x:v>SYNTHETIC / NOT VERIFIED</x:v>
      </x:c>
    </x:row>
    <x:row r="57">
      <x:c r="A57" t="str">
        <x:v>MS-SIM-0056</x:v>
      </x:c>
      <x:c r="B57" t="str">
        <x:v>2026-10-19 18:00:55</x:v>
      </x:c>
      <x:c r="C57" t="str">
        <x:v>ESP32-DEMO-01</x:v>
      </x:c>
      <x:c r="D57" t="str">
        <x:v>Algae</x:v>
      </x:c>
      <x:c r="E57" t="n">
        <x:v>37.9</x:v>
      </x:c>
      <x:c r="F57" t="n">
        <x:v>8.81</x:v>
      </x:c>
      <x:c r="G57" t="n">
        <x:v>264</x:v>
      </x:c>
      <x:c r="H57" t="n">
        <x:v>8</x:v>
      </x:c>
      <x:c r="I57" t="n">
        <x:v>2.27</x:v>
      </x:c>
      <x:c r="J57" t="n">
        <x:v>44.2</x:v>
      </x:c>
      <x:c r="K57" t="n">
        <x:v>0.23</x:v>
      </x:c>
      <x:c r="L57" t="n">
        <x:v>1</x:v>
      </x:c>
      <x:c r="M57" t="n">
        <x:v>1</x:v>
      </x:c>
      <x:c r="N57" t="str">
        <x:v>IMG-0056</x:v>
      </x:c>
      <x:c r="O57" t="str">
        <x:v>SYNTHETIC ILLUSTRATION</x:v>
      </x:c>
      <x:c r="P57" t="str">
        <x:v>NOT_VERIFIED</x:v>
      </x:c>
      <x:c r="Q57" t="str">
        <x:v>LAB-0056</x:v>
      </x:c>
      <x:c r="R57" t="str">
        <x:v>Microscopy / pigment</x:v>
      </x:c>
      <x:c r="S57" t="str">
        <x:v>SIM_NEG</x:v>
      </x:c>
      <x:c r="T57" t="str">
        <x:v>NOT_VERIFIED</x:v>
      </x:c>
      <x:c r="U57" t="n">
        <x:f>MIN(100,MAX(0,(E57-25)*1.5+H57*2+J57*0.25+IF(K57&lt;0.2,15,0)))</x:f>
        <x:v>46.39999999999999</x:v>
      </x:c>
      <x:c r="V57" t="str">
        <x:f>IF(U57&gt;=60,"DEMO HIGH",IF(U57&gt;=30,"DEMO MEDIUM","DEMO LOW"))</x:f>
        <x:v>DEMO MEDIUM</x:v>
      </x:c>
      <x:c r="W57" t="str">
        <x:f>IF(OR(L57&lt;&gt;1,M57&lt;&gt;1,I57&lt;=0),"STOP - FAIL CLOSED","DEMO: VALVE INHIBITED")</x:f>
        <x:v>DEMO: VALVE INHIBITED</x:v>
      </x:c>
      <x:c r="X57" s="8" t="str">
        <x:f>IF(AND(P57="VERIFIED",T57="VERIFIED",Z57="REAL PAIRED"),"REVIEW FOR TRAINING","DEMO ONLY")</x:f>
        <x:v>DEMO ONLY</x:v>
      </x:c>
      <x:c r="Y57" t="str">
        <x:v>1 Sample → 2 MQTT → 3 Risk → 4 Image → 5 Lab → 6 Interlock → 7 Dashboard → 8 Store → 9 Review</x:v>
      </x:c>
      <x:c r="Z57" s="6" t="str">
        <x:v>SYNTHETIC / NOT VERIFIED</x:v>
      </x:c>
    </x:row>
    <x:row r="58">
      <x:c r="A58" t="str">
        <x:v>MS-SIM-0057</x:v>
      </x:c>
      <x:c r="B58" t="str">
        <x:v>2026-10-19 18:00:56</x:v>
      </x:c>
      <x:c r="C58" t="str">
        <x:v>ESP32-DEMO-01</x:v>
      </x:c>
      <x:c r="D58" t="str">
        <x:v>Legionella</x:v>
      </x:c>
      <x:c r="E58" t="n">
        <x:v>23.2</x:v>
      </x:c>
      <x:c r="F58" t="n">
        <x:v>6.56</x:v>
      </x:c>
      <x:c r="G58" t="n">
        <x:v>467</x:v>
      </x:c>
      <x:c r="H58" t="n">
        <x:v>5.96</x:v>
      </x:c>
      <x:c r="I58" t="n">
        <x:v>1.76</x:v>
      </x:c>
      <x:c r="J58" t="n">
        <x:v>31.1</x:v>
      </x:c>
      <x:c r="K58" t="n">
        <x:v>0.78</x:v>
      </x:c>
      <x:c r="L58" t="n">
        <x:v>1</x:v>
      </x:c>
      <x:c r="M58" t="n">
        <x:v>1</x:v>
      </x:c>
      <x:c r="N58" t="str">
        <x:v>IMG-0057</x:v>
      </x:c>
      <x:c r="O58" t="str">
        <x:v>SYNTHETIC ILLUSTRATION</x:v>
      </x:c>
      <x:c r="P58" t="str">
        <x:v>NOT_VERIFIED</x:v>
      </x:c>
      <x:c r="Q58" t="str">
        <x:v>LAB-0057</x:v>
      </x:c>
      <x:c r="R58" t="str">
        <x:v>Culture / qPCR</x:v>
      </x:c>
      <x:c r="S58" t="str">
        <x:v>SIM_NEG</x:v>
      </x:c>
      <x:c r="T58" t="str">
        <x:v>NOT_VERIFIED</x:v>
      </x:c>
      <x:c r="U58" t="n">
        <x:f>MIN(100,MAX(0,(E58-25)*1.5+H58*2+J58*0.25+IF(K58&lt;0.2,15,0)))</x:f>
        <x:v>16.994999999999997</x:v>
      </x:c>
      <x:c r="V58" t="str">
        <x:f>IF(U58&gt;=60,"DEMO HIGH",IF(U58&gt;=30,"DEMO MEDIUM","DEMO LOW"))</x:f>
        <x:v>DEMO LOW</x:v>
      </x:c>
      <x:c r="W58" t="str">
        <x:f>IF(OR(L58&lt;&gt;1,M58&lt;&gt;1,I58&lt;=0),"STOP - FAIL CLOSED","DEMO: VALVE INHIBITED")</x:f>
        <x:v>DEMO: VALVE INHIBITED</x:v>
      </x:c>
      <x:c r="X58" s="8" t="str">
        <x:f>IF(AND(P58="VERIFIED",T58="VERIFIED",Z58="REAL PAIRED"),"REVIEW FOR TRAINING","DEMO ONLY")</x:f>
        <x:v>DEMO ONLY</x:v>
      </x:c>
      <x:c r="Y58" t="str">
        <x:v>1 Sample → 2 MQTT → 3 Risk → 4 Image → 5 Lab → 6 Interlock → 7 Dashboard → 8 Store → 9 Review</x:v>
      </x:c>
      <x:c r="Z58" s="6" t="str">
        <x:v>SYNTHETIC / NOT VERIFIED</x:v>
      </x:c>
    </x:row>
    <x:row r="59">
      <x:c r="A59" t="str">
        <x:v>MS-SIM-0058</x:v>
      </x:c>
      <x:c r="B59" t="str">
        <x:v>2026-10-19 18:00:57</x:v>
      </x:c>
      <x:c r="C59" t="str">
        <x:v>ESP32-DEMO-01</x:v>
      </x:c>
      <x:c r="D59" t="str">
        <x:v>Viruses</x:v>
      </x:c>
      <x:c r="E59" t="n">
        <x:v>40.2</x:v>
      </x:c>
      <x:c r="F59" t="n">
        <x:v>8.9</x:v>
      </x:c>
      <x:c r="G59" t="n">
        <x:v>1079</x:v>
      </x:c>
      <x:c r="H59" t="n">
        <x:v>6.29</x:v>
      </x:c>
      <x:c r="I59" t="n">
        <x:v>2.71</x:v>
      </x:c>
      <x:c r="J59" t="n">
        <x:v>89.4</x:v>
      </x:c>
      <x:c r="K59" t="n">
        <x:v>0.07</x:v>
      </x:c>
      <x:c r="L59" t="n">
        <x:v>1</x:v>
      </x:c>
      <x:c r="M59" t="n">
        <x:v>1</x:v>
      </x:c>
      <x:c r="N59" t="str">
        <x:v>IMG-0058</x:v>
      </x:c>
      <x:c r="O59" t="str">
        <x:v>SYNTHETIC ILLUSTRATION</x:v>
      </x:c>
      <x:c r="P59" t="str">
        <x:v>NOT_VERIFIED</x:v>
      </x:c>
      <x:c r="Q59" t="str">
        <x:v>LAB-0058</x:v>
      </x:c>
      <x:c r="R59" t="str">
        <x:v>RT-qPCR</x:v>
      </x:c>
      <x:c r="S59" t="str">
        <x:v>SIM_POS</x:v>
      </x:c>
      <x:c r="T59" t="str">
        <x:v>NOT_VERIFIED</x:v>
      </x:c>
      <x:c r="U59" t="n">
        <x:f>MIN(100,MAX(0,(E59-25)*1.5+H59*2+J59*0.25+IF(K59&lt;0.2,15,0)))</x:f>
        <x:v>72.73</x:v>
      </x:c>
      <x:c r="V59" t="str">
        <x:f>IF(U59&gt;=60,"DEMO HIGH",IF(U59&gt;=30,"DEMO MEDIUM","DEMO LOW"))</x:f>
        <x:v>DEMO HIGH</x:v>
      </x:c>
      <x:c r="W59" t="str">
        <x:f>IF(OR(L59&lt;&gt;1,M59&lt;&gt;1,I59&lt;=0),"STOP - FAIL CLOSED","DEMO: VALVE INHIBITED")</x:f>
        <x:v>DEMO: VALVE INHIBITED</x:v>
      </x:c>
      <x:c r="X59" s="8" t="str">
        <x:f>IF(AND(P59="VERIFIED",T59="VERIFIED",Z59="REAL PAIRED"),"REVIEW FOR TRAINING","DEMO ONLY")</x:f>
        <x:v>DEMO ONLY</x:v>
      </x:c>
      <x:c r="Y59" t="str">
        <x:v>1 Sample → 2 MQTT → 3 Risk → 4 Image → 5 Lab → 6 Interlock → 7 Dashboard → 8 Store → 9 Review</x:v>
      </x:c>
      <x:c r="Z59" s="6" t="str">
        <x:v>SYNTHETIC / NOT VERIFIED</x:v>
      </x:c>
    </x:row>
    <x:row r="60">
      <x:c r="A60" t="str">
        <x:v>MS-SIM-0059</x:v>
      </x:c>
      <x:c r="B60" t="str">
        <x:v>2026-10-19 18:00:58</x:v>
      </x:c>
      <x:c r="C60" t="str">
        <x:v>ESP32-DEMO-01</x:v>
      </x:c>
      <x:c r="D60" t="str">
        <x:v>Microplastics</x:v>
      </x:c>
      <x:c r="E60" t="n">
        <x:v>31.9</x:v>
      </x:c>
      <x:c r="F60" t="n">
        <x:v>6.65</x:v>
      </x:c>
      <x:c r="G60" t="n">
        <x:v>427</x:v>
      </x:c>
      <x:c r="H60" t="n">
        <x:v>3.34</x:v>
      </x:c>
      <x:c r="I60" t="n">
        <x:v>1.47</x:v>
      </x:c>
      <x:c r="J60" t="n">
        <x:v>71.4</x:v>
      </x:c>
      <x:c r="K60" t="n">
        <x:v>0.25</x:v>
      </x:c>
      <x:c r="L60" t="n">
        <x:v>1</x:v>
      </x:c>
      <x:c r="M60" t="n">
        <x:v>1</x:v>
      </x:c>
      <x:c r="N60" t="str">
        <x:v>IMG-0059</x:v>
      </x:c>
      <x:c r="O60" t="str">
        <x:v>SYNTHETIC ILLUSTRATION</x:v>
      </x:c>
      <x:c r="P60" t="str">
        <x:v>NOT_VERIFIED</x:v>
      </x:c>
      <x:c r="Q60" t="str">
        <x:v>LAB-0059</x:v>
      </x:c>
      <x:c r="R60" t="str">
        <x:v>FTIR / Raman</x:v>
      </x:c>
      <x:c r="S60" t="str">
        <x:v>SIM_NEG</x:v>
      </x:c>
      <x:c r="T60" t="str">
        <x:v>NOT_VERIFIED</x:v>
      </x:c>
      <x:c r="U60" t="n">
        <x:f>MIN(100,MAX(0,(E60-25)*1.5+H60*2+J60*0.25+IF(K60&lt;0.2,15,0)))</x:f>
        <x:v>34.879999999999995</x:v>
      </x:c>
      <x:c r="V60" t="str">
        <x:f>IF(U60&gt;=60,"DEMO HIGH",IF(U60&gt;=30,"DEMO MEDIUM","DEMO LOW"))</x:f>
        <x:v>DEMO MEDIUM</x:v>
      </x:c>
      <x:c r="W60" t="str">
        <x:f>IF(OR(L60&lt;&gt;1,M60&lt;&gt;1,I60&lt;=0),"STOP - FAIL CLOSED","DEMO: VALVE INHIBITED")</x:f>
        <x:v>DEMO: VALVE INHIBITED</x:v>
      </x:c>
      <x:c r="X60" s="8" t="str">
        <x:f>IF(AND(P60="VERIFIED",T60="VERIFIED",Z60="REAL PAIRED"),"REVIEW FOR TRAINING","DEMO ONLY")</x:f>
        <x:v>DEMO ONLY</x:v>
      </x:c>
      <x:c r="Y60" t="str">
        <x:v>1 Sample → 2 MQTT → 3 Risk → 4 Image → 5 Lab → 6 Interlock → 7 Dashboard → 8 Store → 9 Review</x:v>
      </x:c>
      <x:c r="Z60" s="6" t="str">
        <x:v>SYNTHETIC / NOT VERIFIED</x:v>
      </x:c>
    </x:row>
    <x:row r="61">
      <x:c r="A61" t="str">
        <x:v>MS-SIM-0060</x:v>
      </x:c>
      <x:c r="B61" t="str">
        <x:v>2026-10-19 18:00:59</x:v>
      </x:c>
      <x:c r="C61" t="str">
        <x:v>ESP32-DEMO-01</x:v>
      </x:c>
      <x:c r="D61" t="str">
        <x:v>Algae</x:v>
      </x:c>
      <x:c r="E61" t="n">
        <x:v>24.4</x:v>
      </x:c>
      <x:c r="F61" t="n">
        <x:v>7.85</x:v>
      </x:c>
      <x:c r="G61" t="n">
        <x:v>217</x:v>
      </x:c>
      <x:c r="H61" t="n">
        <x:v>7.56</x:v>
      </x:c>
      <x:c r="I61" t="n">
        <x:v>1.8</x:v>
      </x:c>
      <x:c r="J61" t="n">
        <x:v>42.4</x:v>
      </x:c>
      <x:c r="K61" t="n">
        <x:v>0.77</x:v>
      </x:c>
      <x:c r="L61" t="n">
        <x:v>1</x:v>
      </x:c>
      <x:c r="M61" t="n">
        <x:v>1</x:v>
      </x:c>
      <x:c r="N61" t="str">
        <x:v>IMG-0060</x:v>
      </x:c>
      <x:c r="O61" t="str">
        <x:v>SYNTHETIC ILLUSTRATION</x:v>
      </x:c>
      <x:c r="P61" t="str">
        <x:v>NOT_VERIFIED</x:v>
      </x:c>
      <x:c r="Q61" t="str">
        <x:v>LAB-0060</x:v>
      </x:c>
      <x:c r="R61" t="str">
        <x:v>Microscopy / pigment</x:v>
      </x:c>
      <x:c r="S61" t="str">
        <x:v>SIM_NEG</x:v>
      </x:c>
      <x:c r="T61" t="str">
        <x:v>NOT_VERIFIED</x:v>
      </x:c>
      <x:c r="U61" t="n">
        <x:f>MIN(100,MAX(0,(E61-25)*1.5+H61*2+J61*0.25+IF(K61&lt;0.2,15,0)))</x:f>
        <x:v>24.819999999999997</x:v>
      </x:c>
      <x:c r="V61" t="str">
        <x:f>IF(U61&gt;=60,"DEMO HIGH",IF(U61&gt;=30,"DEMO MEDIUM","DEMO LOW"))</x:f>
        <x:v>DEMO LOW</x:v>
      </x:c>
      <x:c r="W61" t="str">
        <x:f>IF(OR(L61&lt;&gt;1,M61&lt;&gt;1,I61&lt;=0),"STOP - FAIL CLOSED","DEMO: VALVE INHIBITED")</x:f>
        <x:v>DEMO: VALVE INHIBITED</x:v>
      </x:c>
      <x:c r="X61" s="8" t="str">
        <x:f>IF(AND(P61="VERIFIED",T61="VERIFIED",Z61="REAL PAIRED"),"REVIEW FOR TRAINING","DEMO ONLY")</x:f>
        <x:v>DEMO ONLY</x:v>
      </x:c>
      <x:c r="Y61" t="str">
        <x:v>1 Sample → 2 MQTT → 3 Risk → 4 Image → 5 Lab → 6 Interlock → 7 Dashboard → 8 Store → 9 Review</x:v>
      </x:c>
      <x:c r="Z61" s="6" t="str">
        <x:v>SYNTHETIC / NOT VERIFIED</x:v>
      </x:c>
    </x:row>
    <x:row r="62">
      <x:c r="A62" t="str">
        <x:v>MS-SIM-0061</x:v>
      </x:c>
      <x:c r="B62" t="str">
        <x:v>2026-10-19 18:01:00</x:v>
      </x:c>
      <x:c r="C62" t="str">
        <x:v>ESP32-DEMO-01</x:v>
      </x:c>
      <x:c r="D62" t="str">
        <x:v>Legionella</x:v>
      </x:c>
      <x:c r="E62" t="n">
        <x:v>29</x:v>
      </x:c>
      <x:c r="F62" t="n">
        <x:v>8.69</x:v>
      </x:c>
      <x:c r="G62" t="n">
        <x:v>1142</x:v>
      </x:c>
      <x:c r="H62" t="n">
        <x:v>8.29</x:v>
      </x:c>
      <x:c r="I62" t="n">
        <x:v>1.18</x:v>
      </x:c>
      <x:c r="J62" t="n">
        <x:v>73</x:v>
      </x:c>
      <x:c r="K62" t="n">
        <x:v>0.44</x:v>
      </x:c>
      <x:c r="L62" t="n">
        <x:v>1</x:v>
      </x:c>
      <x:c r="M62" t="n">
        <x:v>1</x:v>
      </x:c>
      <x:c r="N62" t="str">
        <x:v>IMG-0061</x:v>
      </x:c>
      <x:c r="O62" t="str">
        <x:v>SYNTHETIC ILLUSTRATION</x:v>
      </x:c>
      <x:c r="P62" t="str">
        <x:v>NOT_VERIFIED</x:v>
      </x:c>
      <x:c r="Q62" t="str">
        <x:v>LAB-0061</x:v>
      </x:c>
      <x:c r="R62" t="str">
        <x:v>Culture / qPCR</x:v>
      </x:c>
      <x:c r="S62" t="str">
        <x:v>SIM_POS</x:v>
      </x:c>
      <x:c r="T62" t="str">
        <x:v>NOT_VERIFIED</x:v>
      </x:c>
      <x:c r="U62" t="n">
        <x:f>MIN(100,MAX(0,(E62-25)*1.5+H62*2+J62*0.25+IF(K62&lt;0.2,15,0)))</x:f>
        <x:v>40.83</x:v>
      </x:c>
      <x:c r="V62" t="str">
        <x:f>IF(U62&gt;=60,"DEMO HIGH",IF(U62&gt;=30,"DEMO MEDIUM","DEMO LOW"))</x:f>
        <x:v>DEMO MEDIUM</x:v>
      </x:c>
      <x:c r="W62" t="str">
        <x:f>IF(OR(L62&lt;&gt;1,M62&lt;&gt;1,I62&lt;=0),"STOP - FAIL CLOSED","DEMO: VALVE INHIBITED")</x:f>
        <x:v>DEMO: VALVE INHIBITED</x:v>
      </x:c>
      <x:c r="X62" s="8" t="str">
        <x:f>IF(AND(P62="VERIFIED",T62="VERIFIED",Z62="REAL PAIRED"),"REVIEW FOR TRAINING","DEMO ONLY")</x:f>
        <x:v>DEMO ONLY</x:v>
      </x:c>
      <x:c r="Y62" t="str">
        <x:v>1 Sample → 2 MQTT → 3 Risk → 4 Image → 5 Lab → 6 Interlock → 7 Dashboard → 8 Store → 9 Review</x:v>
      </x:c>
      <x:c r="Z62" s="6" t="str">
        <x:v>SYNTHETIC / NOT VERIFIED</x:v>
      </x:c>
    </x:row>
    <x:row r="63">
      <x:c r="A63" t="str">
        <x:v>MS-SIM-0062</x:v>
      </x:c>
      <x:c r="B63" t="str">
        <x:v>2026-10-19 18:01:01</x:v>
      </x:c>
      <x:c r="C63" t="str">
        <x:v>ESP32-DEMO-01</x:v>
      </x:c>
      <x:c r="D63" t="str">
        <x:v>Viruses</x:v>
      </x:c>
      <x:c r="E63" t="n">
        <x:v>40.8</x:v>
      </x:c>
      <x:c r="F63" t="n">
        <x:v>6.76</x:v>
      </x:c>
      <x:c r="G63" t="n">
        <x:v>635</x:v>
      </x:c>
      <x:c r="H63" t="n">
        <x:v>0.87</x:v>
      </x:c>
      <x:c r="I63" t="n">
        <x:v>0.86</x:v>
      </x:c>
      <x:c r="J63" t="n">
        <x:v>73.9</x:v>
      </x:c>
      <x:c r="K63" t="n">
        <x:v>0.43</x:v>
      </x:c>
      <x:c r="L63" t="n">
        <x:v>1</x:v>
      </x:c>
      <x:c r="M63" t="n">
        <x:v>1</x:v>
      </x:c>
      <x:c r="N63" t="str">
        <x:v>IMG-0062</x:v>
      </x:c>
      <x:c r="O63" t="str">
        <x:v>SYNTHETIC ILLUSTRATION</x:v>
      </x:c>
      <x:c r="P63" t="str">
        <x:v>NOT_VERIFIED</x:v>
      </x:c>
      <x:c r="Q63" t="str">
        <x:v>LAB-0062</x:v>
      </x:c>
      <x:c r="R63" t="str">
        <x:v>RT-qPCR</x:v>
      </x:c>
      <x:c r="S63" t="str">
        <x:v>SIM_NEG</x:v>
      </x:c>
      <x:c r="T63" t="str">
        <x:v>NOT_VERIFIED</x:v>
      </x:c>
      <x:c r="U63" t="n">
        <x:f>MIN(100,MAX(0,(E63-25)*1.5+H63*2+J63*0.25+IF(K63&lt;0.2,15,0)))</x:f>
        <x:v>43.91499999999999</x:v>
      </x:c>
      <x:c r="V63" t="str">
        <x:f>IF(U63&gt;=60,"DEMO HIGH",IF(U63&gt;=30,"DEMO MEDIUM","DEMO LOW"))</x:f>
        <x:v>DEMO MEDIUM</x:v>
      </x:c>
      <x:c r="W63" t="str">
        <x:f>IF(OR(L63&lt;&gt;1,M63&lt;&gt;1,I63&lt;=0),"STOP - FAIL CLOSED","DEMO: VALVE INHIBITED")</x:f>
        <x:v>DEMO: VALVE INHIBITED</x:v>
      </x:c>
      <x:c r="X63" s="8" t="str">
        <x:f>IF(AND(P63="VERIFIED",T63="VERIFIED",Z63="REAL PAIRED"),"REVIEW FOR TRAINING","DEMO ONLY")</x:f>
        <x:v>DEMO ONLY</x:v>
      </x:c>
      <x:c r="Y63" t="str">
        <x:v>1 Sample → 2 MQTT → 3 Risk → 4 Image → 5 Lab → 6 Interlock → 7 Dashboard → 8 Store → 9 Review</x:v>
      </x:c>
      <x:c r="Z63" s="6" t="str">
        <x:v>SYNTHETIC / NOT VERIFIED</x:v>
      </x:c>
    </x:row>
    <x:row r="64">
      <x:c r="A64" t="str">
        <x:v>MS-SIM-0063</x:v>
      </x:c>
      <x:c r="B64" t="str">
        <x:v>2026-10-19 18:01:02</x:v>
      </x:c>
      <x:c r="C64" t="str">
        <x:v>ESP32-DEMO-01</x:v>
      </x:c>
      <x:c r="D64" t="str">
        <x:v>Microplastics</x:v>
      </x:c>
      <x:c r="E64" t="n">
        <x:v>34.9</x:v>
      </x:c>
      <x:c r="F64" t="n">
        <x:v>6.58</x:v>
      </x:c>
      <x:c r="G64" t="n">
        <x:v>977</x:v>
      </x:c>
      <x:c r="H64" t="n">
        <x:v>0.88</x:v>
      </x:c>
      <x:c r="I64" t="n">
        <x:v>2.88</x:v>
      </x:c>
      <x:c r="J64" t="n">
        <x:v>41.8</x:v>
      </x:c>
      <x:c r="K64" t="n">
        <x:v>0.09</x:v>
      </x:c>
      <x:c r="L64" t="n">
        <x:v>1</x:v>
      </x:c>
      <x:c r="M64" t="n">
        <x:v>1</x:v>
      </x:c>
      <x:c r="N64" t="str">
        <x:v>IMG-0063</x:v>
      </x:c>
      <x:c r="O64" t="str">
        <x:v>SYNTHETIC ILLUSTRATION</x:v>
      </x:c>
      <x:c r="P64" t="str">
        <x:v>NOT_VERIFIED</x:v>
      </x:c>
      <x:c r="Q64" t="str">
        <x:v>LAB-0063</x:v>
      </x:c>
      <x:c r="R64" t="str">
        <x:v>FTIR / Raman</x:v>
      </x:c>
      <x:c r="S64" t="str">
        <x:v>SIM_NEG</x:v>
      </x:c>
      <x:c r="T64" t="str">
        <x:v>NOT_VERIFIED</x:v>
      </x:c>
      <x:c r="U64" t="n">
        <x:f>MIN(100,MAX(0,(E64-25)*1.5+H64*2+J64*0.25+IF(K64&lt;0.2,15,0)))</x:f>
        <x:v>42.06</x:v>
      </x:c>
      <x:c r="V64" t="str">
        <x:f>IF(U64&gt;=60,"DEMO HIGH",IF(U64&gt;=30,"DEMO MEDIUM","DEMO LOW"))</x:f>
        <x:v>DEMO MEDIUM</x:v>
      </x:c>
      <x:c r="W64" t="str">
        <x:f>IF(OR(L64&lt;&gt;1,M64&lt;&gt;1,I64&lt;=0),"STOP - FAIL CLOSED","DEMO: VALVE INHIBITED")</x:f>
        <x:v>DEMO: VALVE INHIBITED</x:v>
      </x:c>
      <x:c r="X64" s="8" t="str">
        <x:f>IF(AND(P64="VERIFIED",T64="VERIFIED",Z64="REAL PAIRED"),"REVIEW FOR TRAINING","DEMO ONLY")</x:f>
        <x:v>DEMO ONLY</x:v>
      </x:c>
      <x:c r="Y64" t="str">
        <x:v>1 Sample → 2 MQTT → 3 Risk → 4 Image → 5 Lab → 6 Interlock → 7 Dashboard → 8 Store → 9 Review</x:v>
      </x:c>
      <x:c r="Z64" s="6" t="str">
        <x:v>SYNTHETIC / NOT VERIFIED</x:v>
      </x:c>
    </x:row>
    <x:row r="65">
      <x:c r="A65" t="str">
        <x:v>MS-SIM-0064</x:v>
      </x:c>
      <x:c r="B65" t="str">
        <x:v>2026-10-19 18:01:03</x:v>
      </x:c>
      <x:c r="C65" t="str">
        <x:v>ESP32-DEMO-01</x:v>
      </x:c>
      <x:c r="D65" t="str">
        <x:v>Algae</x:v>
      </x:c>
      <x:c r="E65" t="n">
        <x:v>27.8</x:v>
      </x:c>
      <x:c r="F65" t="n">
        <x:v>8.12</x:v>
      </x:c>
      <x:c r="G65" t="n">
        <x:v>1090</x:v>
      </x:c>
      <x:c r="H65" t="n">
        <x:v>5.66</x:v>
      </x:c>
      <x:c r="I65" t="n">
        <x:v>1.24</x:v>
      </x:c>
      <x:c r="J65" t="n">
        <x:v>79.8</x:v>
      </x:c>
      <x:c r="K65" t="n">
        <x:v>0.26</x:v>
      </x:c>
      <x:c r="L65" t="n">
        <x:v>1</x:v>
      </x:c>
      <x:c r="M65" t="n">
        <x:v>1</x:v>
      </x:c>
      <x:c r="N65" t="str">
        <x:v>IMG-0064</x:v>
      </x:c>
      <x:c r="O65" t="str">
        <x:v>SYNTHETIC ILLUSTRATION</x:v>
      </x:c>
      <x:c r="P65" t="str">
        <x:v>NOT_VERIFIED</x:v>
      </x:c>
      <x:c r="Q65" t="str">
        <x:v>LAB-0064</x:v>
      </x:c>
      <x:c r="R65" t="str">
        <x:v>Microscopy / pigment</x:v>
      </x:c>
      <x:c r="S65" t="str">
        <x:v>SIM_POS</x:v>
      </x:c>
      <x:c r="T65" t="str">
        <x:v>NOT_VERIFIED</x:v>
      </x:c>
      <x:c r="U65" t="n">
        <x:f>MIN(100,MAX(0,(E65-25)*1.5+H65*2+J65*0.25+IF(K65&lt;0.2,15,0)))</x:f>
        <x:v>35.47</x:v>
      </x:c>
      <x:c r="V65" t="str">
        <x:f>IF(U65&gt;=60,"DEMO HIGH",IF(U65&gt;=30,"DEMO MEDIUM","DEMO LOW"))</x:f>
        <x:v>DEMO MEDIUM</x:v>
      </x:c>
      <x:c r="W65" t="str">
        <x:f>IF(OR(L65&lt;&gt;1,M65&lt;&gt;1,I65&lt;=0),"STOP - FAIL CLOSED","DEMO: VALVE INHIBITED")</x:f>
        <x:v>DEMO: VALVE INHIBITED</x:v>
      </x:c>
      <x:c r="X65" s="8" t="str">
        <x:f>IF(AND(P65="VERIFIED",T65="VERIFIED",Z65="REAL PAIRED"),"REVIEW FOR TRAINING","DEMO ONLY")</x:f>
        <x:v>DEMO ONLY</x:v>
      </x:c>
      <x:c r="Y65" t="str">
        <x:v>1 Sample → 2 MQTT → 3 Risk → 4 Image → 5 Lab → 6 Interlock → 7 Dashboard → 8 Store → 9 Review</x:v>
      </x:c>
      <x:c r="Z65" s="6" t="str">
        <x:v>SYNTHETIC / NOT VERIFIED</x:v>
      </x:c>
    </x:row>
    <x:row r="66">
      <x:c r="A66" t="str">
        <x:v>MS-SIM-0065</x:v>
      </x:c>
      <x:c r="B66" t="str">
        <x:v>2026-10-19 18:01:04</x:v>
      </x:c>
      <x:c r="C66" t="str">
        <x:v>ESP32-DEMO-01</x:v>
      </x:c>
      <x:c r="D66" t="str">
        <x:v>Legionella</x:v>
      </x:c>
      <x:c r="E66" t="n">
        <x:v>37</x:v>
      </x:c>
      <x:c r="F66" t="n">
        <x:v>6.62</x:v>
      </x:c>
      <x:c r="G66" t="n">
        <x:v>1484</x:v>
      </x:c>
      <x:c r="H66" t="n">
        <x:v>6.6</x:v>
      </x:c>
      <x:c r="I66" t="n">
        <x:v>2.39</x:v>
      </x:c>
      <x:c r="J66" t="n">
        <x:v>29.9</x:v>
      </x:c>
      <x:c r="K66" t="n">
        <x:v>0.09</x:v>
      </x:c>
      <x:c r="L66" t="n">
        <x:v>1</x:v>
      </x:c>
      <x:c r="M66" t="n">
        <x:v>1</x:v>
      </x:c>
      <x:c r="N66" t="str">
        <x:v>IMG-0065</x:v>
      </x:c>
      <x:c r="O66" t="str">
        <x:v>SYNTHETIC ILLUSTRATION</x:v>
      </x:c>
      <x:c r="P66" t="str">
        <x:v>NOT_VERIFIED</x:v>
      </x:c>
      <x:c r="Q66" t="str">
        <x:v>LAB-0065</x:v>
      </x:c>
      <x:c r="R66" t="str">
        <x:v>Culture / qPCR</x:v>
      </x:c>
      <x:c r="S66" t="str">
        <x:v>SIM_NEG</x:v>
      </x:c>
      <x:c r="T66" t="str">
        <x:v>NOT_VERIFIED</x:v>
      </x:c>
      <x:c r="U66" t="n">
        <x:f>MIN(100,MAX(0,(E66-25)*1.5+H66*2+J66*0.25+IF(K66&lt;0.2,15,0)))</x:f>
        <x:v>53.675</x:v>
      </x:c>
      <x:c r="V66" t="str">
        <x:f>IF(U66&gt;=60,"DEMO HIGH",IF(U66&gt;=30,"DEMO MEDIUM","DEMO LOW"))</x:f>
        <x:v>DEMO MEDIUM</x:v>
      </x:c>
      <x:c r="W66" t="str">
        <x:f>IF(OR(L66&lt;&gt;1,M66&lt;&gt;1,I66&lt;=0),"STOP - FAIL CLOSED","DEMO: VALVE INHIBITED")</x:f>
        <x:v>DEMO: VALVE INHIBITED</x:v>
      </x:c>
      <x:c r="X66" s="8" t="str">
        <x:f>IF(AND(P66="VERIFIED",T66="VERIFIED",Z66="REAL PAIRED"),"REVIEW FOR TRAINING","DEMO ONLY")</x:f>
        <x:v>DEMO ONLY</x:v>
      </x:c>
      <x:c r="Y66" t="str">
        <x:v>1 Sample → 2 MQTT → 3 Risk → 4 Image → 5 Lab → 6 Interlock → 7 Dashboard → 8 Store → 9 Review</x:v>
      </x:c>
      <x:c r="Z66" s="6" t="str">
        <x:v>SYNTHETIC / NOT VERIFIED</x:v>
      </x:c>
    </x:row>
    <x:row r="67">
      <x:c r="A67" t="str">
        <x:v>MS-SIM-0066</x:v>
      </x:c>
      <x:c r="B67" t="str">
        <x:v>2026-10-19 18:01:05</x:v>
      </x:c>
      <x:c r="C67" t="str">
        <x:v>ESP32-DEMO-01</x:v>
      </x:c>
      <x:c r="D67" t="str">
        <x:v>Viruses</x:v>
      </x:c>
      <x:c r="E67" t="n">
        <x:v>39.9</x:v>
      </x:c>
      <x:c r="F67" t="n">
        <x:v>8.77</x:v>
      </x:c>
      <x:c r="G67" t="n">
        <x:v>723</x:v>
      </x:c>
      <x:c r="H67" t="n">
        <x:v>1.56</x:v>
      </x:c>
      <x:c r="I67" t="n">
        <x:v>1.33</x:v>
      </x:c>
      <x:c r="J67" t="n">
        <x:v>15.9</x:v>
      </x:c>
      <x:c r="K67" t="n">
        <x:v>0.04</x:v>
      </x:c>
      <x:c r="L67" t="n">
        <x:v>1</x:v>
      </x:c>
      <x:c r="M67" t="n">
        <x:v>1</x:v>
      </x:c>
      <x:c r="N67" t="str">
        <x:v>IMG-0066</x:v>
      </x:c>
      <x:c r="O67" t="str">
        <x:v>SYNTHETIC ILLUSTRATION</x:v>
      </x:c>
      <x:c r="P67" t="str">
        <x:v>NOT_VERIFIED</x:v>
      </x:c>
      <x:c r="Q67" t="str">
        <x:v>LAB-0066</x:v>
      </x:c>
      <x:c r="R67" t="str">
        <x:v>RT-qPCR</x:v>
      </x:c>
      <x:c r="S67" t="str">
        <x:v>SIM_NEG</x:v>
      </x:c>
      <x:c r="T67" t="str">
        <x:v>NOT_VERIFIED</x:v>
      </x:c>
      <x:c r="U67" t="n">
        <x:f>MIN(100,MAX(0,(E67-25)*1.5+H67*2+J67*0.25+IF(K67&lt;0.2,15,0)))</x:f>
        <x:v>44.445</x:v>
      </x:c>
      <x:c r="V67" t="str">
        <x:f>IF(U67&gt;=60,"DEMO HIGH",IF(U67&gt;=30,"DEMO MEDIUM","DEMO LOW"))</x:f>
        <x:v>DEMO MEDIUM</x:v>
      </x:c>
      <x:c r="W67" t="str">
        <x:f>IF(OR(L67&lt;&gt;1,M67&lt;&gt;1,I67&lt;=0),"STOP - FAIL CLOSED","DEMO: VALVE INHIBITED")</x:f>
        <x:v>DEMO: VALVE INHIBITED</x:v>
      </x:c>
      <x:c r="X67" s="8" t="str">
        <x:f>IF(AND(P67="VERIFIED",T67="VERIFIED",Z67="REAL PAIRED"),"REVIEW FOR TRAINING","DEMO ONLY")</x:f>
        <x:v>DEMO ONLY</x:v>
      </x:c>
      <x:c r="Y67" t="str">
        <x:v>1 Sample → 2 MQTT → 3 Risk → 4 Image → 5 Lab → 6 Interlock → 7 Dashboard → 8 Store → 9 Review</x:v>
      </x:c>
      <x:c r="Z67" s="6" t="str">
        <x:v>SYNTHETIC / NOT VERIFIED</x:v>
      </x:c>
    </x:row>
    <x:row r="68">
      <x:c r="A68" t="str">
        <x:v>MS-SIM-0067</x:v>
      </x:c>
      <x:c r="B68" t="str">
        <x:v>2026-10-19 18:01:06</x:v>
      </x:c>
      <x:c r="C68" t="str">
        <x:v>ESP32-DEMO-01</x:v>
      </x:c>
      <x:c r="D68" t="str">
        <x:v>Microplastics</x:v>
      </x:c>
      <x:c r="E68" t="n">
        <x:v>34.1</x:v>
      </x:c>
      <x:c r="F68" t="n">
        <x:v>8.12</x:v>
      </x:c>
      <x:c r="G68" t="n">
        <x:v>1337</x:v>
      </x:c>
      <x:c r="H68" t="n">
        <x:v>13.66</x:v>
      </x:c>
      <x:c r="I68" t="n">
        <x:v>0.58</x:v>
      </x:c>
      <x:c r="J68" t="n">
        <x:v>20.1</x:v>
      </x:c>
      <x:c r="K68" t="n">
        <x:v>0.03</x:v>
      </x:c>
      <x:c r="L68" t="n">
        <x:v>1</x:v>
      </x:c>
      <x:c r="M68" t="n">
        <x:v>1</x:v>
      </x:c>
      <x:c r="N68" t="str">
        <x:v>IMG-0067</x:v>
      </x:c>
      <x:c r="O68" t="str">
        <x:v>SYNTHETIC ILLUSTRATION</x:v>
      </x:c>
      <x:c r="P68" t="str">
        <x:v>NOT_VERIFIED</x:v>
      </x:c>
      <x:c r="Q68" t="str">
        <x:v>LAB-0067</x:v>
      </x:c>
      <x:c r="R68" t="str">
        <x:v>FTIR / Raman</x:v>
      </x:c>
      <x:c r="S68" t="str">
        <x:v>SIM_POS</x:v>
      </x:c>
      <x:c r="T68" t="str">
        <x:v>NOT_VERIFIED</x:v>
      </x:c>
      <x:c r="U68" t="n">
        <x:f>MIN(100,MAX(0,(E68-25)*1.5+H68*2+J68*0.25+IF(K68&lt;0.2,15,0)))</x:f>
        <x:v>60.995</x:v>
      </x:c>
      <x:c r="V68" t="str">
        <x:f>IF(U68&gt;=60,"DEMO HIGH",IF(U68&gt;=30,"DEMO MEDIUM","DEMO LOW"))</x:f>
        <x:v>DEMO HIGH</x:v>
      </x:c>
      <x:c r="W68" t="str">
        <x:f>IF(OR(L68&lt;&gt;1,M68&lt;&gt;1,I68&lt;=0),"STOP - FAIL CLOSED","DEMO: VALVE INHIBITED")</x:f>
        <x:v>DEMO: VALVE INHIBITED</x:v>
      </x:c>
      <x:c r="X68" s="8" t="str">
        <x:f>IF(AND(P68="VERIFIED",T68="VERIFIED",Z68="REAL PAIRED"),"REVIEW FOR TRAINING","DEMO ONLY")</x:f>
        <x:v>DEMO ONLY</x:v>
      </x:c>
      <x:c r="Y68" t="str">
        <x:v>1 Sample → 2 MQTT → 3 Risk → 4 Image → 5 Lab → 6 Interlock → 7 Dashboard → 8 Store → 9 Review</x:v>
      </x:c>
      <x:c r="Z68" s="6" t="str">
        <x:v>SYNTHETIC / NOT VERIFIED</x:v>
      </x:c>
    </x:row>
    <x:row r="69">
      <x:c r="A69" t="str">
        <x:v>MS-SIM-0068</x:v>
      </x:c>
      <x:c r="B69" t="str">
        <x:v>2026-10-19 18:01:07</x:v>
      </x:c>
      <x:c r="C69" t="str">
        <x:v>ESP32-DEMO-01</x:v>
      </x:c>
      <x:c r="D69" t="str">
        <x:v>Algae</x:v>
      </x:c>
      <x:c r="E69" t="n">
        <x:v>31</x:v>
      </x:c>
      <x:c r="F69" t="n">
        <x:v>8.2</x:v>
      </x:c>
      <x:c r="G69" t="n">
        <x:v>1010</x:v>
      </x:c>
      <x:c r="H69" t="n">
        <x:v>1.96</x:v>
      </x:c>
      <x:c r="I69" t="n">
        <x:v>2.52</x:v>
      </x:c>
      <x:c r="J69" t="n">
        <x:v>66.6</x:v>
      </x:c>
      <x:c r="K69" t="n">
        <x:v>0.6</x:v>
      </x:c>
      <x:c r="L69" t="n">
        <x:v>1</x:v>
      </x:c>
      <x:c r="M69" t="n">
        <x:v>1</x:v>
      </x:c>
      <x:c r="N69" t="str">
        <x:v>IMG-0068</x:v>
      </x:c>
      <x:c r="O69" t="str">
        <x:v>SYNTHETIC ILLUSTRATION</x:v>
      </x:c>
      <x:c r="P69" t="str">
        <x:v>NOT_VERIFIED</x:v>
      </x:c>
      <x:c r="Q69" t="str">
        <x:v>LAB-0068</x:v>
      </x:c>
      <x:c r="R69" t="str">
        <x:v>Microscopy / pigment</x:v>
      </x:c>
      <x:c r="S69" t="str">
        <x:v>SIM_NEG</x:v>
      </x:c>
      <x:c r="T69" t="str">
        <x:v>NOT_VERIFIED</x:v>
      </x:c>
      <x:c r="U69" t="n">
        <x:f>MIN(100,MAX(0,(E69-25)*1.5+H69*2+J69*0.25+IF(K69&lt;0.2,15,0)))</x:f>
        <x:v>29.57</x:v>
      </x:c>
      <x:c r="V69" t="str">
        <x:f>IF(U69&gt;=60,"DEMO HIGH",IF(U69&gt;=30,"DEMO MEDIUM","DEMO LOW"))</x:f>
        <x:v>DEMO LOW</x:v>
      </x:c>
      <x:c r="W69" t="str">
        <x:f>IF(OR(L69&lt;&gt;1,M69&lt;&gt;1,I69&lt;=0),"STOP - FAIL CLOSED","DEMO: VALVE INHIBITED")</x:f>
        <x:v>DEMO: VALVE INHIBITED</x:v>
      </x:c>
      <x:c r="X69" s="8" t="str">
        <x:f>IF(AND(P69="VERIFIED",T69="VERIFIED",Z69="REAL PAIRED"),"REVIEW FOR TRAINING","DEMO ONLY")</x:f>
        <x:v>DEMO ONLY</x:v>
      </x:c>
      <x:c r="Y69" t="str">
        <x:v>1 Sample → 2 MQTT → 3 Risk → 4 Image → 5 Lab → 6 Interlock → 7 Dashboard → 8 Store → 9 Review</x:v>
      </x:c>
      <x:c r="Z69" s="6" t="str">
        <x:v>SYNTHETIC / NOT VERIFIED</x:v>
      </x:c>
    </x:row>
    <x:row r="70">
      <x:c r="A70" t="str">
        <x:v>MS-SIM-0069</x:v>
      </x:c>
      <x:c r="B70" t="str">
        <x:v>2026-10-19 18:01:08</x:v>
      </x:c>
      <x:c r="C70" t="str">
        <x:v>ESP32-DEMO-01</x:v>
      </x:c>
      <x:c r="D70" t="str">
        <x:v>Legionella</x:v>
      </x:c>
      <x:c r="E70" t="n">
        <x:v>29.9</x:v>
      </x:c>
      <x:c r="F70" t="n">
        <x:v>8.04</x:v>
      </x:c>
      <x:c r="G70" t="n">
        <x:v>1593</x:v>
      </x:c>
      <x:c r="H70" t="n">
        <x:v>3.82</x:v>
      </x:c>
      <x:c r="I70" t="n">
        <x:v>2.68</x:v>
      </x:c>
      <x:c r="J70" t="n">
        <x:v>13.3</x:v>
      </x:c>
      <x:c r="K70" t="n">
        <x:v>0.05</x:v>
      </x:c>
      <x:c r="L70" t="n">
        <x:v>1</x:v>
      </x:c>
      <x:c r="M70" t="n">
        <x:v>1</x:v>
      </x:c>
      <x:c r="N70" t="str">
        <x:v>IMG-0069</x:v>
      </x:c>
      <x:c r="O70" t="str">
        <x:v>SYNTHETIC ILLUSTRATION</x:v>
      </x:c>
      <x:c r="P70" t="str">
        <x:v>NOT_VERIFIED</x:v>
      </x:c>
      <x:c r="Q70" t="str">
        <x:v>LAB-0069</x:v>
      </x:c>
      <x:c r="R70" t="str">
        <x:v>Culture / qPCR</x:v>
      </x:c>
      <x:c r="S70" t="str">
        <x:v>SIM_NEG</x:v>
      </x:c>
      <x:c r="T70" t="str">
        <x:v>NOT_VERIFIED</x:v>
      </x:c>
      <x:c r="U70" t="n">
        <x:f>MIN(100,MAX(0,(E70-25)*1.5+H70*2+J70*0.25+IF(K70&lt;0.2,15,0)))</x:f>
        <x:v>33.315</x:v>
      </x:c>
      <x:c r="V70" t="str">
        <x:f>IF(U70&gt;=60,"DEMO HIGH",IF(U70&gt;=30,"DEMO MEDIUM","DEMO LOW"))</x:f>
        <x:v>DEMO MEDIUM</x:v>
      </x:c>
      <x:c r="W70" t="str">
        <x:f>IF(OR(L70&lt;&gt;1,M70&lt;&gt;1,I70&lt;=0),"STOP - FAIL CLOSED","DEMO: VALVE INHIBITED")</x:f>
        <x:v>DEMO: VALVE INHIBITED</x:v>
      </x:c>
      <x:c r="X70" s="8" t="str">
        <x:f>IF(AND(P70="VERIFIED",T70="VERIFIED",Z70="REAL PAIRED"),"REVIEW FOR TRAINING","DEMO ONLY")</x:f>
        <x:v>DEMO ONLY</x:v>
      </x:c>
      <x:c r="Y70" t="str">
        <x:v>1 Sample → 2 MQTT → 3 Risk → 4 Image → 5 Lab → 6 Interlock → 7 Dashboard → 8 Store → 9 Review</x:v>
      </x:c>
      <x:c r="Z70" s="6" t="str">
        <x:v>SYNTHETIC / NOT VERIFIED</x:v>
      </x:c>
    </x:row>
    <x:row r="71">
      <x:c r="A71" t="str">
        <x:v>MS-SIM-0070</x:v>
      </x:c>
      <x:c r="B71" t="str">
        <x:v>2026-10-19 18:01:09</x:v>
      </x:c>
      <x:c r="C71" t="str">
        <x:v>ESP32-DEMO-01</x:v>
      </x:c>
      <x:c r="D71" t="str">
        <x:v>Viruses</x:v>
      </x:c>
      <x:c r="E71" t="n">
        <x:v>27.1</x:v>
      </x:c>
      <x:c r="F71" t="n">
        <x:v>8.25</x:v>
      </x:c>
      <x:c r="G71" t="n">
        <x:v>380</x:v>
      </x:c>
      <x:c r="H71" t="n">
        <x:v>12.73</x:v>
      </x:c>
      <x:c r="I71" t="n">
        <x:v>0.61</x:v>
      </x:c>
      <x:c r="J71" t="n">
        <x:v>46.7</x:v>
      </x:c>
      <x:c r="K71" t="n">
        <x:v>0.12</x:v>
      </x:c>
      <x:c r="L71" t="n">
        <x:v>1</x:v>
      </x:c>
      <x:c r="M71" t="n">
        <x:v>1</x:v>
      </x:c>
      <x:c r="N71" t="str">
        <x:v>IMG-0070</x:v>
      </x:c>
      <x:c r="O71" t="str">
        <x:v>SYNTHETIC ILLUSTRATION</x:v>
      </x:c>
      <x:c r="P71" t="str">
        <x:v>NOT_VERIFIED</x:v>
      </x:c>
      <x:c r="Q71" t="str">
        <x:v>LAB-0070</x:v>
      </x:c>
      <x:c r="R71" t="str">
        <x:v>RT-qPCR</x:v>
      </x:c>
      <x:c r="S71" t="str">
        <x:v>SIM_POS</x:v>
      </x:c>
      <x:c r="T71" t="str">
        <x:v>NOT_VERIFIED</x:v>
      </x:c>
      <x:c r="U71" t="n">
        <x:f>MIN(100,MAX(0,(E71-25)*1.5+H71*2+J71*0.25+IF(K71&lt;0.2,15,0)))</x:f>
        <x:v>55.285000000000004</x:v>
      </x:c>
      <x:c r="V71" t="str">
        <x:f>IF(U71&gt;=60,"DEMO HIGH",IF(U71&gt;=30,"DEMO MEDIUM","DEMO LOW"))</x:f>
        <x:v>DEMO MEDIUM</x:v>
      </x:c>
      <x:c r="W71" t="str">
        <x:f>IF(OR(L71&lt;&gt;1,M71&lt;&gt;1,I71&lt;=0),"STOP - FAIL CLOSED","DEMO: VALVE INHIBITED")</x:f>
        <x:v>DEMO: VALVE INHIBITED</x:v>
      </x:c>
      <x:c r="X71" s="8" t="str">
        <x:f>IF(AND(P71="VERIFIED",T71="VERIFIED",Z71="REAL PAIRED"),"REVIEW FOR TRAINING","DEMO ONLY")</x:f>
        <x:v>DEMO ONLY</x:v>
      </x:c>
      <x:c r="Y71" t="str">
        <x:v>1 Sample → 2 MQTT → 3 Risk → 4 Image → 5 Lab → 6 Interlock → 7 Dashboard → 8 Store → 9 Review</x:v>
      </x:c>
      <x:c r="Z71" s="6" t="str">
        <x:v>SYNTHETIC / NOT VERIFIED</x:v>
      </x:c>
    </x:row>
    <x:row r="72">
      <x:c r="A72" t="str">
        <x:v>MS-SIM-0071</x:v>
      </x:c>
      <x:c r="B72" t="str">
        <x:v>2026-10-19 18:01:10</x:v>
      </x:c>
      <x:c r="C72" t="str">
        <x:v>ESP32-DEMO-01</x:v>
      </x:c>
      <x:c r="D72" t="str">
        <x:v>Microplastics</x:v>
      </x:c>
      <x:c r="E72" t="n">
        <x:v>39.9</x:v>
      </x:c>
      <x:c r="F72" t="n">
        <x:v>8.77</x:v>
      </x:c>
      <x:c r="G72" t="n">
        <x:v>998</x:v>
      </x:c>
      <x:c r="H72" t="n">
        <x:v>12.35</x:v>
      </x:c>
      <x:c r="I72" t="n">
        <x:v>1.84</x:v>
      </x:c>
      <x:c r="J72" t="n">
        <x:v>86.7</x:v>
      </x:c>
      <x:c r="K72" t="n">
        <x:v>0.5</x:v>
      </x:c>
      <x:c r="L72" t="n">
        <x:v>1</x:v>
      </x:c>
      <x:c r="M72" t="n">
        <x:v>1</x:v>
      </x:c>
      <x:c r="N72" t="str">
        <x:v>IMG-0071</x:v>
      </x:c>
      <x:c r="O72" t="str">
        <x:v>SYNTHETIC ILLUSTRATION</x:v>
      </x:c>
      <x:c r="P72" t="str">
        <x:v>NOT_VERIFIED</x:v>
      </x:c>
      <x:c r="Q72" t="str">
        <x:v>LAB-0071</x:v>
      </x:c>
      <x:c r="R72" t="str">
        <x:v>FTIR / Raman</x:v>
      </x:c>
      <x:c r="S72" t="str">
        <x:v>SIM_NEG</x:v>
      </x:c>
      <x:c r="T72" t="str">
        <x:v>NOT_VERIFIED</x:v>
      </x:c>
      <x:c r="U72" t="n">
        <x:f>MIN(100,MAX(0,(E72-25)*1.5+H72*2+J72*0.25+IF(K72&lt;0.2,15,0)))</x:f>
        <x:v>68.725</x:v>
      </x:c>
      <x:c r="V72" t="str">
        <x:f>IF(U72&gt;=60,"DEMO HIGH",IF(U72&gt;=30,"DEMO MEDIUM","DEMO LOW"))</x:f>
        <x:v>DEMO HIGH</x:v>
      </x:c>
      <x:c r="W72" t="str">
        <x:f>IF(OR(L72&lt;&gt;1,M72&lt;&gt;1,I72&lt;=0),"STOP - FAIL CLOSED","DEMO: VALVE INHIBITED")</x:f>
        <x:v>DEMO: VALVE INHIBITED</x:v>
      </x:c>
      <x:c r="X72" s="8" t="str">
        <x:f>IF(AND(P72="VERIFIED",T72="VERIFIED",Z72="REAL PAIRED"),"REVIEW FOR TRAINING","DEMO ONLY")</x:f>
        <x:v>DEMO ONLY</x:v>
      </x:c>
      <x:c r="Y72" t="str">
        <x:v>1 Sample → 2 MQTT → 3 Risk → 4 Image → 5 Lab → 6 Interlock → 7 Dashboard → 8 Store → 9 Review</x:v>
      </x:c>
      <x:c r="Z72" s="6" t="str">
        <x:v>SYNTHETIC / NOT VERIFIED</x:v>
      </x:c>
    </x:row>
    <x:row r="73">
      <x:c r="A73" t="str">
        <x:v>MS-SIM-0072</x:v>
      </x:c>
      <x:c r="B73" t="str">
        <x:v>2026-10-19 18:01:11</x:v>
      </x:c>
      <x:c r="C73" t="str">
        <x:v>ESP32-DEMO-01</x:v>
      </x:c>
      <x:c r="D73" t="str">
        <x:v>Algae</x:v>
      </x:c>
      <x:c r="E73" t="n">
        <x:v>34.2</x:v>
      </x:c>
      <x:c r="F73" t="n">
        <x:v>6.56</x:v>
      </x:c>
      <x:c r="G73" t="n">
        <x:v>1295</x:v>
      </x:c>
      <x:c r="H73" t="n">
        <x:v>8.45</x:v>
      </x:c>
      <x:c r="I73" t="n">
        <x:v>1.93</x:v>
      </x:c>
      <x:c r="J73" t="n">
        <x:v>57</x:v>
      </x:c>
      <x:c r="K73" t="n">
        <x:v>0.13</x:v>
      </x:c>
      <x:c r="L73" t="n">
        <x:v>1</x:v>
      </x:c>
      <x:c r="M73" t="n">
        <x:v>1</x:v>
      </x:c>
      <x:c r="N73" t="str">
        <x:v>IMG-0072</x:v>
      </x:c>
      <x:c r="O73" t="str">
        <x:v>SYNTHETIC ILLUSTRATION</x:v>
      </x:c>
      <x:c r="P73" t="str">
        <x:v>NOT_VERIFIED</x:v>
      </x:c>
      <x:c r="Q73" t="str">
        <x:v>LAB-0072</x:v>
      </x:c>
      <x:c r="R73" t="str">
        <x:v>Microscopy / pigment</x:v>
      </x:c>
      <x:c r="S73" t="str">
        <x:v>SIM_NEG</x:v>
      </x:c>
      <x:c r="T73" t="str">
        <x:v>NOT_VERIFIED</x:v>
      </x:c>
      <x:c r="U73" t="n">
        <x:f>MIN(100,MAX(0,(E73-25)*1.5+H73*2+J73*0.25+IF(K73&lt;0.2,15,0)))</x:f>
        <x:v>59.95</x:v>
      </x:c>
      <x:c r="V73" t="str">
        <x:f>IF(U73&gt;=60,"DEMO HIGH",IF(U73&gt;=30,"DEMO MEDIUM","DEMO LOW"))</x:f>
        <x:v>DEMO MEDIUM</x:v>
      </x:c>
      <x:c r="W73" t="str">
        <x:f>IF(OR(L73&lt;&gt;1,M73&lt;&gt;1,I73&lt;=0),"STOP - FAIL CLOSED","DEMO: VALVE INHIBITED")</x:f>
        <x:v>DEMO: VALVE INHIBITED</x:v>
      </x:c>
      <x:c r="X73" s="8" t="str">
        <x:f>IF(AND(P73="VERIFIED",T73="VERIFIED",Z73="REAL PAIRED"),"REVIEW FOR TRAINING","DEMO ONLY")</x:f>
        <x:v>DEMO ONLY</x:v>
      </x:c>
      <x:c r="Y73" t="str">
        <x:v>1 Sample → 2 MQTT → 3 Risk → 4 Image → 5 Lab → 6 Interlock → 7 Dashboard → 8 Store → 9 Review</x:v>
      </x:c>
      <x:c r="Z73" s="6" t="str">
        <x:v>SYNTHETIC / NOT VERIFIED</x:v>
      </x:c>
    </x:row>
    <x:row r="74">
      <x:c r="A74" t="str">
        <x:v>MS-SIM-0073</x:v>
      </x:c>
      <x:c r="B74" t="str">
        <x:v>2026-10-19 18:01:12</x:v>
      </x:c>
      <x:c r="C74" t="str">
        <x:v>ESP32-DEMO-01</x:v>
      </x:c>
      <x:c r="D74" t="str">
        <x:v>Legionella</x:v>
      </x:c>
      <x:c r="E74" t="n">
        <x:v>26.9</x:v>
      </x:c>
      <x:c r="F74" t="n">
        <x:v>6.78</x:v>
      </x:c>
      <x:c r="G74" t="n">
        <x:v>1454</x:v>
      </x:c>
      <x:c r="H74" t="n">
        <x:v>4.13</x:v>
      </x:c>
      <x:c r="I74" t="n">
        <x:v>1.65</x:v>
      </x:c>
      <x:c r="J74" t="n">
        <x:v>72.6</x:v>
      </x:c>
      <x:c r="K74" t="n">
        <x:v>0.4</x:v>
      </x:c>
      <x:c r="L74" t="n">
        <x:v>0</x:v>
      </x:c>
      <x:c r="M74" t="n">
        <x:v>1</x:v>
      </x:c>
      <x:c r="N74" t="str">
        <x:v>IMG-0073</x:v>
      </x:c>
      <x:c r="O74" t="str">
        <x:v>SYNTHETIC ILLUSTRATION</x:v>
      </x:c>
      <x:c r="P74" t="str">
        <x:v>NOT_VERIFIED</x:v>
      </x:c>
      <x:c r="Q74" t="str">
        <x:v>LAB-0073</x:v>
      </x:c>
      <x:c r="R74" t="str">
        <x:v>Culture / qPCR</x:v>
      </x:c>
      <x:c r="S74" t="str">
        <x:v>SIM_POS</x:v>
      </x:c>
      <x:c r="T74" t="str">
        <x:v>NOT_VERIFIED</x:v>
      </x:c>
      <x:c r="U74" t="n">
        <x:f>MIN(100,MAX(0,(E74-25)*1.5+H74*2+J74*0.25+IF(K74&lt;0.2,15,0)))</x:f>
        <x:v>29.259999999999998</x:v>
      </x:c>
      <x:c r="V74" t="str">
        <x:f>IF(U74&gt;=60,"DEMO HIGH",IF(U74&gt;=30,"DEMO MEDIUM","DEMO LOW"))</x:f>
        <x:v>DEMO LOW</x:v>
      </x:c>
      <x:c r="W74" t="str">
        <x:f>IF(OR(L74&lt;&gt;1,M74&lt;&gt;1,I74&lt;=0),"STOP - FAIL CLOSED","DEMO: VALVE INHIBITED")</x:f>
        <x:v>STOP - FAIL CLOSED</x:v>
      </x:c>
      <x:c r="X74" s="8" t="str">
        <x:f>IF(AND(P74="VERIFIED",T74="VERIFIED",Z74="REAL PAIRED"),"REVIEW FOR TRAINING","DEMO ONLY")</x:f>
        <x:v>DEMO ONLY</x:v>
      </x:c>
      <x:c r="Y74" t="str">
        <x:v>1 Sample → 2 MQTT → 3 Risk → 4 Image → 5 Lab → 6 Interlock → 7 Dashboard → 8 Store → 9 Review</x:v>
      </x:c>
      <x:c r="Z74" s="6" t="str">
        <x:v>SYNTHETIC / NOT VERIFIED</x:v>
      </x:c>
    </x:row>
    <x:row r="75">
      <x:c r="A75" t="str">
        <x:v>MS-SIM-0074</x:v>
      </x:c>
      <x:c r="B75" t="str">
        <x:v>2026-10-19 18:01:13</x:v>
      </x:c>
      <x:c r="C75" t="str">
        <x:v>ESP32-DEMO-01</x:v>
      </x:c>
      <x:c r="D75" t="str">
        <x:v>Viruses</x:v>
      </x:c>
      <x:c r="E75" t="n">
        <x:v>39.3</x:v>
      </x:c>
      <x:c r="F75" t="n">
        <x:v>7.95</x:v>
      </x:c>
      <x:c r="G75" t="n">
        <x:v>774</x:v>
      </x:c>
      <x:c r="H75" t="n">
        <x:v>12.98</x:v>
      </x:c>
      <x:c r="I75" t="n">
        <x:v>1.55</x:v>
      </x:c>
      <x:c r="J75" t="n">
        <x:v>16.5</x:v>
      </x:c>
      <x:c r="K75" t="n">
        <x:v>0.35</x:v>
      </x:c>
      <x:c r="L75" t="n">
        <x:v>1</x:v>
      </x:c>
      <x:c r="M75" t="n">
        <x:v>1</x:v>
      </x:c>
      <x:c r="N75" t="str">
        <x:v>IMG-0074</x:v>
      </x:c>
      <x:c r="O75" t="str">
        <x:v>SYNTHETIC ILLUSTRATION</x:v>
      </x:c>
      <x:c r="P75" t="str">
        <x:v>NOT_VERIFIED</x:v>
      </x:c>
      <x:c r="Q75" t="str">
        <x:v>LAB-0074</x:v>
      </x:c>
      <x:c r="R75" t="str">
        <x:v>RT-qPCR</x:v>
      </x:c>
      <x:c r="S75" t="str">
        <x:v>SIM_NEG</x:v>
      </x:c>
      <x:c r="T75" t="str">
        <x:v>NOT_VERIFIED</x:v>
      </x:c>
      <x:c r="U75" t="n">
        <x:f>MIN(100,MAX(0,(E75-25)*1.5+H75*2+J75*0.25+IF(K75&lt;0.2,15,0)))</x:f>
        <x:v>51.535</x:v>
      </x:c>
      <x:c r="V75" t="str">
        <x:f>IF(U75&gt;=60,"DEMO HIGH",IF(U75&gt;=30,"DEMO MEDIUM","DEMO LOW"))</x:f>
        <x:v>DEMO MEDIUM</x:v>
      </x:c>
      <x:c r="W75" t="str">
        <x:f>IF(OR(L75&lt;&gt;1,M75&lt;&gt;1,I75&lt;=0),"STOP - FAIL CLOSED","DEMO: VALVE INHIBITED")</x:f>
        <x:v>DEMO: VALVE INHIBITED</x:v>
      </x:c>
      <x:c r="X75" s="8" t="str">
        <x:f>IF(AND(P75="VERIFIED",T75="VERIFIED",Z75="REAL PAIRED"),"REVIEW FOR TRAINING","DEMO ONLY")</x:f>
        <x:v>DEMO ONLY</x:v>
      </x:c>
      <x:c r="Y75" t="str">
        <x:v>1 Sample → 2 MQTT → 3 Risk → 4 Image → 5 Lab → 6 Interlock → 7 Dashboard → 8 Store → 9 Review</x:v>
      </x:c>
      <x:c r="Z75" s="6" t="str">
        <x:v>SYNTHETIC / NOT VERIFIED</x:v>
      </x:c>
    </x:row>
    <x:row r="76">
      <x:c r="A76" t="str">
        <x:v>MS-SIM-0075</x:v>
      </x:c>
      <x:c r="B76" t="str">
        <x:v>2026-10-19 18:01:14</x:v>
      </x:c>
      <x:c r="C76" t="str">
        <x:v>ESP32-DEMO-01</x:v>
      </x:c>
      <x:c r="D76" t="str">
        <x:v>Microplastics</x:v>
      </x:c>
      <x:c r="E76" t="n">
        <x:v>38.5</x:v>
      </x:c>
      <x:c r="F76" t="n">
        <x:v>8.59</x:v>
      </x:c>
      <x:c r="G76" t="n">
        <x:v>885</x:v>
      </x:c>
      <x:c r="H76" t="n">
        <x:v>5.83</x:v>
      </x:c>
      <x:c r="I76" t="n">
        <x:v>1.32</x:v>
      </x:c>
      <x:c r="J76" t="n">
        <x:v>27.2</x:v>
      </x:c>
      <x:c r="K76" t="n">
        <x:v>0.72</x:v>
      </x:c>
      <x:c r="L76" t="n">
        <x:v>1</x:v>
      </x:c>
      <x:c r="M76" t="n">
        <x:v>1</x:v>
      </x:c>
      <x:c r="N76" t="str">
        <x:v>IMG-0075</x:v>
      </x:c>
      <x:c r="O76" t="str">
        <x:v>SYNTHETIC ILLUSTRATION</x:v>
      </x:c>
      <x:c r="P76" t="str">
        <x:v>NOT_VERIFIED</x:v>
      </x:c>
      <x:c r="Q76" t="str">
        <x:v>LAB-0075</x:v>
      </x:c>
      <x:c r="R76" t="str">
        <x:v>FTIR / Raman</x:v>
      </x:c>
      <x:c r="S76" t="str">
        <x:v>SIM_NEG</x:v>
      </x:c>
      <x:c r="T76" t="str">
        <x:v>NOT_VERIFIED</x:v>
      </x:c>
      <x:c r="U76" t="n">
        <x:f>MIN(100,MAX(0,(E76-25)*1.5+H76*2+J76*0.25+IF(K76&lt;0.2,15,0)))</x:f>
        <x:v>38.71</x:v>
      </x:c>
      <x:c r="V76" t="str">
        <x:f>IF(U76&gt;=60,"DEMO HIGH",IF(U76&gt;=30,"DEMO MEDIUM","DEMO LOW"))</x:f>
        <x:v>DEMO MEDIUM</x:v>
      </x:c>
      <x:c r="W76" t="str">
        <x:f>IF(OR(L76&lt;&gt;1,M76&lt;&gt;1,I76&lt;=0),"STOP - FAIL CLOSED","DEMO: VALVE INHIBITED")</x:f>
        <x:v>DEMO: VALVE INHIBITED</x:v>
      </x:c>
      <x:c r="X76" s="8" t="str">
        <x:f>IF(AND(P76="VERIFIED",T76="VERIFIED",Z76="REAL PAIRED"),"REVIEW FOR TRAINING","DEMO ONLY")</x:f>
        <x:v>DEMO ONLY</x:v>
      </x:c>
      <x:c r="Y76" t="str">
        <x:v>1 Sample → 2 MQTT → 3 Risk → 4 Image → 5 Lab → 6 Interlock → 7 Dashboard → 8 Store → 9 Review</x:v>
      </x:c>
      <x:c r="Z76" s="6" t="str">
        <x:v>SYNTHETIC / NOT VERIFIED</x:v>
      </x:c>
    </x:row>
    <x:row r="77">
      <x:c r="A77" t="str">
        <x:v>MS-SIM-0076</x:v>
      </x:c>
      <x:c r="B77" t="str">
        <x:v>2026-10-19 18:01:15</x:v>
      </x:c>
      <x:c r="C77" t="str">
        <x:v>ESP32-DEMO-01</x:v>
      </x:c>
      <x:c r="D77" t="str">
        <x:v>Algae</x:v>
      </x:c>
      <x:c r="E77" t="n">
        <x:v>30.3</x:v>
      </x:c>
      <x:c r="F77" t="n">
        <x:v>8.49</x:v>
      </x:c>
      <x:c r="G77" t="n">
        <x:v>250</x:v>
      </x:c>
      <x:c r="H77" t="n">
        <x:v>10.73</x:v>
      </x:c>
      <x:c r="I77" t="n">
        <x:v>1.01</x:v>
      </x:c>
      <x:c r="J77" t="n">
        <x:v>42.1</x:v>
      </x:c>
      <x:c r="K77" t="n">
        <x:v>0.1</x:v>
      </x:c>
      <x:c r="L77" t="n">
        <x:v>1</x:v>
      </x:c>
      <x:c r="M77" t="n">
        <x:v>1</x:v>
      </x:c>
      <x:c r="N77" t="str">
        <x:v>IMG-0076</x:v>
      </x:c>
      <x:c r="O77" t="str">
        <x:v>SYNTHETIC ILLUSTRATION</x:v>
      </x:c>
      <x:c r="P77" t="str">
        <x:v>NOT_VERIFIED</x:v>
      </x:c>
      <x:c r="Q77" t="str">
        <x:v>LAB-0076</x:v>
      </x:c>
      <x:c r="R77" t="str">
        <x:v>Microscopy / pigment</x:v>
      </x:c>
      <x:c r="S77" t="str">
        <x:v>SIM_POS</x:v>
      </x:c>
      <x:c r="T77" t="str">
        <x:v>NOT_VERIFIED</x:v>
      </x:c>
      <x:c r="U77" t="n">
        <x:f>MIN(100,MAX(0,(E77-25)*1.5+H77*2+J77*0.25+IF(K77&lt;0.2,15,0)))</x:f>
        <x:v>54.935</x:v>
      </x:c>
      <x:c r="V77" t="str">
        <x:f>IF(U77&gt;=60,"DEMO HIGH",IF(U77&gt;=30,"DEMO MEDIUM","DEMO LOW"))</x:f>
        <x:v>DEMO MEDIUM</x:v>
      </x:c>
      <x:c r="W77" t="str">
        <x:f>IF(OR(L77&lt;&gt;1,M77&lt;&gt;1,I77&lt;=0),"STOP - FAIL CLOSED","DEMO: VALVE INHIBITED")</x:f>
        <x:v>DEMO: VALVE INHIBITED</x:v>
      </x:c>
      <x:c r="X77" s="8" t="str">
        <x:f>IF(AND(P77="VERIFIED",T77="VERIFIED",Z77="REAL PAIRED"),"REVIEW FOR TRAINING","DEMO ONLY")</x:f>
        <x:v>DEMO ONLY</x:v>
      </x:c>
      <x:c r="Y77" t="str">
        <x:v>1 Sample → 2 MQTT → 3 Risk → 4 Image → 5 Lab → 6 Interlock → 7 Dashboard → 8 Store → 9 Review</x:v>
      </x:c>
      <x:c r="Z77" s="6" t="str">
        <x:v>SYNTHETIC / NOT VERIFIED</x:v>
      </x:c>
    </x:row>
    <x:row r="78">
      <x:c r="A78" t="str">
        <x:v>MS-SIM-0077</x:v>
      </x:c>
      <x:c r="B78" t="str">
        <x:v>2026-10-19 18:01:16</x:v>
      </x:c>
      <x:c r="C78" t="str">
        <x:v>ESP32-DEMO-01</x:v>
      </x:c>
      <x:c r="D78" t="str">
        <x:v>Legionella</x:v>
      </x:c>
      <x:c r="E78" t="n">
        <x:v>40.5</x:v>
      </x:c>
      <x:c r="F78" t="n">
        <x:v>8.08</x:v>
      </x:c>
      <x:c r="G78" t="n">
        <x:v>1030</x:v>
      </x:c>
      <x:c r="H78" t="n">
        <x:v>5.28</x:v>
      </x:c>
      <x:c r="I78" t="n">
        <x:v>2.12</x:v>
      </x:c>
      <x:c r="J78" t="n">
        <x:v>80.2</x:v>
      </x:c>
      <x:c r="K78" t="n">
        <x:v>0.54</x:v>
      </x:c>
      <x:c r="L78" t="n">
        <x:v>1</x:v>
      </x:c>
      <x:c r="M78" t="n">
        <x:v>1</x:v>
      </x:c>
      <x:c r="N78" t="str">
        <x:v>IMG-0077</x:v>
      </x:c>
      <x:c r="O78" t="str">
        <x:v>SYNTHETIC ILLUSTRATION</x:v>
      </x:c>
      <x:c r="P78" t="str">
        <x:v>NOT_VERIFIED</x:v>
      </x:c>
      <x:c r="Q78" t="str">
        <x:v>LAB-0077</x:v>
      </x:c>
      <x:c r="R78" t="str">
        <x:v>Culture / qPCR</x:v>
      </x:c>
      <x:c r="S78" t="str">
        <x:v>SIM_NEG</x:v>
      </x:c>
      <x:c r="T78" t="str">
        <x:v>NOT_VERIFIED</x:v>
      </x:c>
      <x:c r="U78" t="n">
        <x:f>MIN(100,MAX(0,(E78-25)*1.5+H78*2+J78*0.25+IF(K78&lt;0.2,15,0)))</x:f>
        <x:v>53.86</x:v>
      </x:c>
      <x:c r="V78" t="str">
        <x:f>IF(U78&gt;=60,"DEMO HIGH",IF(U78&gt;=30,"DEMO MEDIUM","DEMO LOW"))</x:f>
        <x:v>DEMO MEDIUM</x:v>
      </x:c>
      <x:c r="W78" t="str">
        <x:f>IF(OR(L78&lt;&gt;1,M78&lt;&gt;1,I78&lt;=0),"STOP - FAIL CLOSED","DEMO: VALVE INHIBITED")</x:f>
        <x:v>DEMO: VALVE INHIBITED</x:v>
      </x:c>
      <x:c r="X78" s="8" t="str">
        <x:f>IF(AND(P78="VERIFIED",T78="VERIFIED",Z78="REAL PAIRED"),"REVIEW FOR TRAINING","DEMO ONLY")</x:f>
        <x:v>DEMO ONLY</x:v>
      </x:c>
      <x:c r="Y78" t="str">
        <x:v>1 Sample → 2 MQTT → 3 Risk → 4 Image → 5 Lab → 6 Interlock → 7 Dashboard → 8 Store → 9 Review</x:v>
      </x:c>
      <x:c r="Z78" s="6" t="str">
        <x:v>SYNTHETIC / NOT VERIFIED</x:v>
      </x:c>
    </x:row>
    <x:row r="79">
      <x:c r="A79" t="str">
        <x:v>MS-SIM-0078</x:v>
      </x:c>
      <x:c r="B79" t="str">
        <x:v>2026-10-19 18:01:17</x:v>
      </x:c>
      <x:c r="C79" t="str">
        <x:v>ESP32-DEMO-01</x:v>
      </x:c>
      <x:c r="D79" t="str">
        <x:v>Viruses</x:v>
      </x:c>
      <x:c r="E79" t="n">
        <x:v>34</x:v>
      </x:c>
      <x:c r="F79" t="n">
        <x:v>6.85</x:v>
      </x:c>
      <x:c r="G79" t="n">
        <x:v>565</x:v>
      </x:c>
      <x:c r="H79" t="n">
        <x:v>2.41</x:v>
      </x:c>
      <x:c r="I79" t="n">
        <x:v>2.78</x:v>
      </x:c>
      <x:c r="J79" t="n">
        <x:v>71.7</x:v>
      </x:c>
      <x:c r="K79" t="n">
        <x:v>0.34</x:v>
      </x:c>
      <x:c r="L79" t="n">
        <x:v>1</x:v>
      </x:c>
      <x:c r="M79" t="n">
        <x:v>1</x:v>
      </x:c>
      <x:c r="N79" t="str">
        <x:v>IMG-0078</x:v>
      </x:c>
      <x:c r="O79" t="str">
        <x:v>SYNTHETIC ILLUSTRATION</x:v>
      </x:c>
      <x:c r="P79" t="str">
        <x:v>NOT_VERIFIED</x:v>
      </x:c>
      <x:c r="Q79" t="str">
        <x:v>LAB-0078</x:v>
      </x:c>
      <x:c r="R79" t="str">
        <x:v>RT-qPCR</x:v>
      </x:c>
      <x:c r="S79" t="str">
        <x:v>SIM_NEG</x:v>
      </x:c>
      <x:c r="T79" t="str">
        <x:v>NOT_VERIFIED</x:v>
      </x:c>
      <x:c r="U79" t="n">
        <x:f>MIN(100,MAX(0,(E79-25)*1.5+H79*2+J79*0.25+IF(K79&lt;0.2,15,0)))</x:f>
        <x:v>36.245000000000005</x:v>
      </x:c>
      <x:c r="V79" t="str">
        <x:f>IF(U79&gt;=60,"DEMO HIGH",IF(U79&gt;=30,"DEMO MEDIUM","DEMO LOW"))</x:f>
        <x:v>DEMO MEDIUM</x:v>
      </x:c>
      <x:c r="W79" t="str">
        <x:f>IF(OR(L79&lt;&gt;1,M79&lt;&gt;1,I79&lt;=0),"STOP - FAIL CLOSED","DEMO: VALVE INHIBITED")</x:f>
        <x:v>DEMO: VALVE INHIBITED</x:v>
      </x:c>
      <x:c r="X79" s="8" t="str">
        <x:f>IF(AND(P79="VERIFIED",T79="VERIFIED",Z79="REAL PAIRED"),"REVIEW FOR TRAINING","DEMO ONLY")</x:f>
        <x:v>DEMO ONLY</x:v>
      </x:c>
      <x:c r="Y79" t="str">
        <x:v>1 Sample → 2 MQTT → 3 Risk → 4 Image → 5 Lab → 6 Interlock → 7 Dashboard → 8 Store → 9 Review</x:v>
      </x:c>
      <x:c r="Z79" s="6" t="str">
        <x:v>SYNTHETIC / NOT VERIFIED</x:v>
      </x:c>
    </x:row>
    <x:row r="80">
      <x:c r="A80" t="str">
        <x:v>MS-SIM-0079</x:v>
      </x:c>
      <x:c r="B80" t="str">
        <x:v>2026-10-19 18:01:18</x:v>
      </x:c>
      <x:c r="C80" t="str">
        <x:v>ESP32-DEMO-01</x:v>
      </x:c>
      <x:c r="D80" t="str">
        <x:v>Microplastics</x:v>
      </x:c>
      <x:c r="E80" t="n">
        <x:v>37.1</x:v>
      </x:c>
      <x:c r="F80" t="n">
        <x:v>6.85</x:v>
      </x:c>
      <x:c r="G80" t="n">
        <x:v>1520</x:v>
      </x:c>
      <x:c r="H80" t="n">
        <x:v>4.76</x:v>
      </x:c>
      <x:c r="I80" t="n">
        <x:v>2.17</x:v>
      </x:c>
      <x:c r="J80" t="n">
        <x:v>18.5</x:v>
      </x:c>
      <x:c r="K80" t="n">
        <x:v>0.78</x:v>
      </x:c>
      <x:c r="L80" t="n">
        <x:v>1</x:v>
      </x:c>
      <x:c r="M80" t="n">
        <x:v>1</x:v>
      </x:c>
      <x:c r="N80" t="str">
        <x:v>IMG-0079</x:v>
      </x:c>
      <x:c r="O80" t="str">
        <x:v>SYNTHETIC ILLUSTRATION</x:v>
      </x:c>
      <x:c r="P80" t="str">
        <x:v>NOT_VERIFIED</x:v>
      </x:c>
      <x:c r="Q80" t="str">
        <x:v>LAB-0079</x:v>
      </x:c>
      <x:c r="R80" t="str">
        <x:v>FTIR / Raman</x:v>
      </x:c>
      <x:c r="S80" t="str">
        <x:v>SIM_POS</x:v>
      </x:c>
      <x:c r="T80" t="str">
        <x:v>NOT_VERIFIED</x:v>
      </x:c>
      <x:c r="U80" t="n">
        <x:f>MIN(100,MAX(0,(E80-25)*1.5+H80*2+J80*0.25+IF(K80&lt;0.2,15,0)))</x:f>
        <x:v>32.295</x:v>
      </x:c>
      <x:c r="V80" t="str">
        <x:f>IF(U80&gt;=60,"DEMO HIGH",IF(U80&gt;=30,"DEMO MEDIUM","DEMO LOW"))</x:f>
        <x:v>DEMO MEDIUM</x:v>
      </x:c>
      <x:c r="W80" t="str">
        <x:f>IF(OR(L80&lt;&gt;1,M80&lt;&gt;1,I80&lt;=0),"STOP - FAIL CLOSED","DEMO: VALVE INHIBITED")</x:f>
        <x:v>DEMO: VALVE INHIBITED</x:v>
      </x:c>
      <x:c r="X80" s="8" t="str">
        <x:f>IF(AND(P80="VERIFIED",T80="VERIFIED",Z80="REAL PAIRED"),"REVIEW FOR TRAINING","DEMO ONLY")</x:f>
        <x:v>DEMO ONLY</x:v>
      </x:c>
      <x:c r="Y80" t="str">
        <x:v>1 Sample → 2 MQTT → 3 Risk → 4 Image → 5 Lab → 6 Interlock → 7 Dashboard → 8 Store → 9 Review</x:v>
      </x:c>
      <x:c r="Z80" s="6" t="str">
        <x:v>SYNTHETIC / NOT VERIFIED</x:v>
      </x:c>
    </x:row>
    <x:row r="81">
      <x:c r="A81" t="str">
        <x:v>MS-SIM-0080</x:v>
      </x:c>
      <x:c r="B81" t="str">
        <x:v>2026-10-19 18:01:19</x:v>
      </x:c>
      <x:c r="C81" t="str">
        <x:v>ESP32-DEMO-01</x:v>
      </x:c>
      <x:c r="D81" t="str">
        <x:v>Algae</x:v>
      </x:c>
      <x:c r="E81" t="n">
        <x:v>36</x:v>
      </x:c>
      <x:c r="F81" t="n">
        <x:v>6.92</x:v>
      </x:c>
      <x:c r="G81" t="n">
        <x:v>1431</x:v>
      </x:c>
      <x:c r="H81" t="n">
        <x:v>12.92</x:v>
      </x:c>
      <x:c r="I81" t="n">
        <x:v>2.19</x:v>
      </x:c>
      <x:c r="J81" t="n">
        <x:v>22.1</x:v>
      </x:c>
      <x:c r="K81" t="n">
        <x:v>0.56</x:v>
      </x:c>
      <x:c r="L81" t="n">
        <x:v>1</x:v>
      </x:c>
      <x:c r="M81" t="n">
        <x:v>1</x:v>
      </x:c>
      <x:c r="N81" t="str">
        <x:v>IMG-0080</x:v>
      </x:c>
      <x:c r="O81" t="str">
        <x:v>SYNTHETIC ILLUSTRATION</x:v>
      </x:c>
      <x:c r="P81" t="str">
        <x:v>NOT_VERIFIED</x:v>
      </x:c>
      <x:c r="Q81" t="str">
        <x:v>LAB-0080</x:v>
      </x:c>
      <x:c r="R81" t="str">
        <x:v>Microscopy / pigment</x:v>
      </x:c>
      <x:c r="S81" t="str">
        <x:v>SIM_NEG</x:v>
      </x:c>
      <x:c r="T81" t="str">
        <x:v>NOT_VERIFIED</x:v>
      </x:c>
      <x:c r="U81" t="n">
        <x:f>MIN(100,MAX(0,(E81-25)*1.5+H81*2+J81*0.25+IF(K81&lt;0.2,15,0)))</x:f>
        <x:v>47.865</x:v>
      </x:c>
      <x:c r="V81" t="str">
        <x:f>IF(U81&gt;=60,"DEMO HIGH",IF(U81&gt;=30,"DEMO MEDIUM","DEMO LOW"))</x:f>
        <x:v>DEMO MEDIUM</x:v>
      </x:c>
      <x:c r="W81" t="str">
        <x:f>IF(OR(L81&lt;&gt;1,M81&lt;&gt;1,I81&lt;=0),"STOP - FAIL CLOSED","DEMO: VALVE INHIBITED")</x:f>
        <x:v>DEMO: VALVE INHIBITED</x:v>
      </x:c>
      <x:c r="X81" s="8" t="str">
        <x:f>IF(AND(P81="VERIFIED",T81="VERIFIED",Z81="REAL PAIRED"),"REVIEW FOR TRAINING","DEMO ONLY")</x:f>
        <x:v>DEMO ONLY</x:v>
      </x:c>
      <x:c r="Y81" t="str">
        <x:v>1 Sample → 2 MQTT → 3 Risk → 4 Image → 5 Lab → 6 Interlock → 7 Dashboard → 8 Store → 9 Review</x:v>
      </x:c>
      <x:c r="Z81" s="6" t="str">
        <x:v>SYNTHETIC / NOT VERIFIED</x:v>
      </x:c>
    </x:row>
  </x:sheetData>
  <x:pageMargins left="0.7" right="0.7" top="0.75" bottom="0.75" header="0.3" footer="0.3"/>
</x:worksheet>
</file>